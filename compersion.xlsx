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saeed\Downloads\assigment_val\"/>
    </mc:Choice>
  </mc:AlternateContent>
  <xr:revisionPtr revIDLastSave="0" documentId="8_{468DF302-4DB4-408A-AA72-A2C14AB1645D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tests" sheetId="1" r:id="rId1"/>
    <sheet name="compare_cell_id" sheetId="2" r:id="rId2"/>
    <sheet name="nomail_check" sheetId="3" r:id="rId3"/>
    <sheet name="decile_mail" sheetId="4" r:id="rId4"/>
    <sheet name="examples" sheetId="5" r:id="rId5"/>
    <sheet name="coupon" sheetId="6" r:id="rId6"/>
    <sheet name="articles" sheetId="7" r:id="rId7"/>
    <sheet name="cell-cpn" sheetId="8" r:id="rId8"/>
    <sheet name="slot-cpn" sheetId="9" r:id="rId9"/>
    <sheet name="renewal_cell_id" sheetId="10" r:id="rId10"/>
    <sheet name="descriptive_cell_id" sheetId="11" r:id="rId11"/>
    <sheet name="personalized_content_cell_id" sheetId="12" r:id="rId12"/>
    <sheet name="full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5" l="1"/>
  <c r="Y5" i="5"/>
  <c r="Y6" i="5"/>
  <c r="Y7" i="5"/>
  <c r="Y8" i="5"/>
  <c r="Y9" i="5"/>
  <c r="Y10" i="5"/>
  <c r="Y11" i="5"/>
  <c r="Y12" i="5"/>
  <c r="Y13" i="5"/>
  <c r="Y14" i="5"/>
  <c r="Y19" i="5"/>
  <c r="Y20" i="5"/>
  <c r="Y21" i="5"/>
  <c r="Y22" i="5"/>
  <c r="Y23" i="5"/>
  <c r="Y24" i="5"/>
  <c r="Y25" i="5"/>
  <c r="Y26" i="5"/>
  <c r="Y27" i="5"/>
  <c r="Y28" i="5"/>
  <c r="Y29" i="5"/>
  <c r="Y30" i="5"/>
  <c r="Y35" i="5"/>
  <c r="Y36" i="5"/>
  <c r="Y37" i="5"/>
  <c r="Y38" i="5"/>
  <c r="Y39" i="5"/>
  <c r="Y40" i="5"/>
  <c r="Y41" i="5"/>
  <c r="Y42" i="5"/>
  <c r="Y43" i="5"/>
  <c r="Y44" i="5"/>
  <c r="Y45" i="5"/>
  <c r="Y46" i="5"/>
  <c r="Y51" i="5"/>
  <c r="Y52" i="5"/>
  <c r="Y53" i="5"/>
  <c r="Y54" i="5"/>
  <c r="Y55" i="5"/>
  <c r="Y56" i="5"/>
  <c r="Y57" i="5"/>
  <c r="Y58" i="5"/>
  <c r="Y59" i="5"/>
  <c r="Y60" i="5"/>
  <c r="Y61" i="5"/>
  <c r="Y62" i="5"/>
  <c r="Y67" i="5"/>
  <c r="Y68" i="5"/>
  <c r="Y69" i="5"/>
  <c r="Y70" i="5"/>
  <c r="Y71" i="5"/>
  <c r="Y72" i="5"/>
  <c r="Y73" i="5"/>
  <c r="Y74" i="5"/>
  <c r="Y75" i="5"/>
  <c r="Y76" i="5"/>
  <c r="Y77" i="5"/>
  <c r="Y78" i="5"/>
  <c r="Y83" i="5"/>
  <c r="Y84" i="5"/>
  <c r="Y85" i="5"/>
  <c r="Y86" i="5"/>
  <c r="Y87" i="5"/>
  <c r="Y88" i="5"/>
  <c r="Y89" i="5"/>
  <c r="Y90" i="5"/>
  <c r="Y91" i="5"/>
  <c r="Y92" i="5"/>
  <c r="Y93" i="5"/>
  <c r="Y94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" i="5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3" i="13"/>
</calcChain>
</file>

<file path=xl/sharedStrings.xml><?xml version="1.0" encoding="utf-8"?>
<sst xmlns="http://schemas.openxmlformats.org/spreadsheetml/2006/main" count="12053" uniqueCount="2772">
  <si>
    <t xml:space="preserve">CF Ineligible Members (out of ~5.4m full BBM pop): </t>
  </si>
  <si>
    <t xml:space="preserve">Sensitive content assignment: </t>
  </si>
  <si>
    <t>Fail</t>
  </si>
  <si>
    <t xml:space="preserve">actual cell size within tolerance of estimated: </t>
  </si>
  <si>
    <t xml:space="preserve">Downsampled coupons: </t>
  </si>
  <si>
    <t>No Downsampled Coupons</t>
  </si>
  <si>
    <t xml:space="preserve">Members assigned same number of coupons: </t>
  </si>
  <si>
    <t>Pass</t>
  </si>
  <si>
    <t xml:space="preserve">Trial Cells Have Lower Sales: </t>
  </si>
  <si>
    <t xml:space="preserve">Basket Cells Have Lower Sales: </t>
  </si>
  <si>
    <t xml:space="preserve">Members are in One Cell Only: </t>
  </si>
  <si>
    <t xml:space="preserve">Members are only Assigned Coupons Once: </t>
  </si>
  <si>
    <t xml:space="preserve">Average spend decreases by decile: </t>
  </si>
  <si>
    <t>CELL_ID</t>
  </si>
  <si>
    <t>CELL_DESC</t>
  </si>
  <si>
    <t>MEMBERS</t>
  </si>
  <si>
    <t>ESTIMATED_TOTAL</t>
  </si>
  <si>
    <t>IMPRESSIONS</t>
  </si>
  <si>
    <t>IMPR_per_MEMB</t>
  </si>
  <si>
    <t>NO_MAIL_MEMBERS</t>
  </si>
  <si>
    <t>AVG_TRIPS</t>
  </si>
  <si>
    <t>BASKET</t>
  </si>
  <si>
    <t>AVG_SPEND_4</t>
  </si>
  <si>
    <t>STDEV_SPEND_4</t>
  </si>
  <si>
    <t>AVG_SPEND_12</t>
  </si>
  <si>
    <t>STDEV_SPEND_12</t>
  </si>
  <si>
    <t>AVG_SPEND_52</t>
  </si>
  <si>
    <t>STDEV_SPEND_52</t>
  </si>
  <si>
    <t>1740</t>
  </si>
  <si>
    <t>Club to Club Control</t>
  </si>
  <si>
    <t>1741</t>
  </si>
  <si>
    <t>Club to Club Test 10$</t>
  </si>
  <si>
    <t>1742</t>
  </si>
  <si>
    <t>Club to Club Test 30$</t>
  </si>
  <si>
    <t>1743</t>
  </si>
  <si>
    <t>Club to Club Test 60$</t>
  </si>
  <si>
    <t>1744</t>
  </si>
  <si>
    <t>Paper &amp; Dual DECILES 1-4</t>
  </si>
  <si>
    <t>1745</t>
  </si>
  <si>
    <t>Seeds</t>
  </si>
  <si>
    <t>LFIFTY_TWOW_SPEND_IN_STORE</t>
  </si>
  <si>
    <t>LAST_FIFTY_TWO_WEEK_TRIPS</t>
  </si>
  <si>
    <t>DAYS_SINCE_LAST_TRIP</t>
  </si>
  <si>
    <t>BBM_DECILE</t>
  </si>
  <si>
    <t>BBM_PROP_SCORE</t>
  </si>
  <si>
    <t>cpn_channel</t>
  </si>
  <si>
    <t>MAIL_GROUP</t>
  </si>
  <si>
    <t>DISTINCT_MBRS</t>
  </si>
  <si>
    <t>nulls</t>
  </si>
  <si>
    <t>pct_1</t>
  </si>
  <si>
    <t>mean</t>
  </si>
  <si>
    <t>pct_99</t>
  </si>
  <si>
    <t>null</t>
  </si>
  <si>
    <t>digital</t>
  </si>
  <si>
    <t>dual</t>
  </si>
  <si>
    <t>no_cpns</t>
  </si>
  <si>
    <t>paper</t>
  </si>
  <si>
    <t>considered</t>
  </si>
  <si>
    <t>excluded</t>
  </si>
  <si>
    <t>mailed</t>
  </si>
  <si>
    <t>mail_flag</t>
  </si>
  <si>
    <t>decile</t>
  </si>
  <si>
    <t>Min(EXP_DT)</t>
  </si>
  <si>
    <t>Max(EXP_DT)</t>
  </si>
  <si>
    <t>Min(MBRSHP_EXP_DT)</t>
  </si>
  <si>
    <t>Max(MBRSHP_EXP_DT)</t>
  </si>
  <si>
    <t>Min(MBRSHP_RNWL_DT)</t>
  </si>
  <si>
    <t>Max(MBRSHP_RNWL_DT)</t>
  </si>
  <si>
    <t>1</t>
  </si>
  <si>
    <t>new_member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</si>
  <si>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</si>
  <si>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</si>
  <si>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</si>
  <si>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</si>
  <si>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</si>
  <si>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</si>
  <si>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</si>
  <si>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</si>
  <si>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</si>
  <si>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Rong:</t>
  </si>
  <si>
    <t>MBRSHP_SID</t>
  </si>
  <si>
    <t>SLOT_NBR</t>
  </si>
  <si>
    <t>CPN_TYPE</t>
  </si>
  <si>
    <t>CPN_DESC</t>
  </si>
  <si>
    <t>SAMPLE_ARTICLE</t>
  </si>
  <si>
    <t>ADJ_TRIPS_RANK</t>
  </si>
  <si>
    <t>ADJ_TRIPS</t>
  </si>
  <si>
    <t>TRIPS</t>
  </si>
  <si>
    <t>IS_BACKFILL</t>
  </si>
  <si>
    <t>MAIL_FLAG</t>
  </si>
  <si>
    <t>58564596</t>
  </si>
  <si>
    <t>article</t>
  </si>
  <si>
    <t>FY27_SS5_WF ASPARAGUS_$1</t>
  </si>
  <si>
    <t>WF ASPARAGUS 10/28OZ</t>
  </si>
  <si>
    <t>FY27_SS5_SUMOS_$1.50</t>
  </si>
  <si>
    <t>SUMO 4/3LB</t>
  </si>
  <si>
    <t>FY27_SS5_JimmyDeanTurke_$2</t>
  </si>
  <si>
    <t>JD ORIGINAL PATTIES 30OZ, 24CT</t>
  </si>
  <si>
    <t>JD TURKEY PATTIES 28.2OZ, 24CT</t>
  </si>
  <si>
    <t>FY27_SS5_Wellsley Farm Butterfly_$3</t>
  </si>
  <si>
    <t>SEAPAK CLAM STRIPS 28OZ</t>
  </si>
  <si>
    <t>SEAPAK BEER BATTERED SHRIMP</t>
  </si>
  <si>
    <t>FY27_SS5_ORGANIC GRAPE _$1</t>
  </si>
  <si>
    <t>ORGANIC GRAPE TOMATO 6/1.5LB</t>
  </si>
  <si>
    <t>FY27_SS5_ WF ORG BABY_0.50</t>
  </si>
  <si>
    <t>WF ORG BABY CARROTS 12/2LB</t>
  </si>
  <si>
    <t>FY27_SS5_BelgioiosoFresh_$2</t>
  </si>
  <si>
    <t>BELGIO SLICED MOZZARELLA LOG 4/8OZ</t>
  </si>
  <si>
    <t>FY27_SS5_Organic Granny_$1</t>
  </si>
  <si>
    <t>WF ORGANIC GRANNY APPLES 10/4LB</t>
  </si>
  <si>
    <t>FY27_FOC5_ Formaggio Artisan_$2</t>
  </si>
  <si>
    <t>FORMAGGIO VARIETY ARTISAN WRAP 18 OZ</t>
  </si>
  <si>
    <t>BELGIOIOSO BURRATA 16 OZ</t>
  </si>
  <si>
    <t>ORG GRANNY SMITH APPLE 10/4LB</t>
  </si>
  <si>
    <t>FY27_SS5_PompeianGourmetSel_$3</t>
  </si>
  <si>
    <t>POMPEIAN GOURMET SEL 2/ 1.41 LTR</t>
  </si>
  <si>
    <t>FY27_FOC5_Wonderclassic_$1</t>
  </si>
  <si>
    <t>FLOWERS WONDER CLASSIC 2/22OZ</t>
  </si>
  <si>
    <t>FY27_FOC5_Garlic Bag_$1</t>
  </si>
  <si>
    <t>GARLIC BAG 20/24 OZ</t>
  </si>
  <si>
    <t>FY27_SS5_DASHOriginalGarl_$1.5</t>
  </si>
  <si>
    <t>DASH ORIGINAL 10 OZ</t>
  </si>
  <si>
    <t>FY27_SS5_Mix and Match_$1</t>
  </si>
  <si>
    <t>PICK N' PACK, NACHO COOL/RANCH</t>
  </si>
  <si>
    <t>Doug:</t>
  </si>
  <si>
    <t>41510081</t>
  </si>
  <si>
    <t>FY27_FOC5_ Butterbal_$2</t>
  </si>
  <si>
    <t>BB 93% GROUND TURKEY     CP8</t>
  </si>
  <si>
    <t>FY27_FOC5_PERO CONVENTIONAL_$1</t>
  </si>
  <si>
    <t>GREEN BEANS 12/2 LB.</t>
  </si>
  <si>
    <t>PICK N' PACK, CLASSIC/WAVY</t>
  </si>
  <si>
    <t>FY27_SS5_AlwaysTamapx_$2.50</t>
  </si>
  <si>
    <t>ALWAYS MAXI PADS W/WINGS, SZ 5 66CT</t>
  </si>
  <si>
    <t>ALWAYS MAXI SIZE 2 PAD 90CT</t>
  </si>
  <si>
    <t>FY27_FOC27_ Chipwich_$2</t>
  </si>
  <si>
    <t>THE ORIGINAL CHIPWICH, 10 CT.</t>
  </si>
  <si>
    <t>FY27_SS5_NestleChocolateMor_$1</t>
  </si>
  <si>
    <t>NESTLE 72OZ SEM SWT MORSEL</t>
  </si>
  <si>
    <t>FY27_SS5_BountyNapkins_$1</t>
  </si>
  <si>
    <t>BOUNTY LUNCH NAPKIN 800CT</t>
  </si>
  <si>
    <t>FY27_SS5_BananaBoatSunCare_$3.50</t>
  </si>
  <si>
    <t>BANANA BOAT ULTRA SPORT SPF50 6OZ 3PACK</t>
  </si>
  <si>
    <t>HAWAIIAN TROPIC WEIGHTLESS SPF30 6OZ 2PK</t>
  </si>
  <si>
    <t>FY27_SS5_StacyNaked_$3</t>
  </si>
  <si>
    <t>STACY'S SIMPLY NAKED PITA CHIP 28 OZ</t>
  </si>
  <si>
    <t>SMARTFOOD NACHO DORITOS</t>
  </si>
  <si>
    <t>Susan:</t>
  </si>
  <si>
    <t>76882031</t>
  </si>
  <si>
    <t>ORG SNIPPD GRN BEANS 12/24OZ</t>
  </si>
  <si>
    <t>FY27_SS5_SilkAlmondmilk_$1.5</t>
  </si>
  <si>
    <t>SILK ALMOND UNSWT VAN 2/64</t>
  </si>
  <si>
    <t>SILK ALMOND VANILLA 2/64</t>
  </si>
  <si>
    <t>BUTTERBALL ROTISSERIE TURKEY TENDERLOINS</t>
  </si>
  <si>
    <t>FY27_SS5_ Ling Potstickers_$3</t>
  </si>
  <si>
    <t>LING LING MINI VEG SPRING ROLL, 30 CT</t>
  </si>
  <si>
    <t>FY27_SS5_CheeriosNVGranolaBlueyBOGO</t>
  </si>
  <si>
    <t>G MILLS 40.7 CHEERIOS</t>
  </si>
  <si>
    <t>NATURE VALLEY 28Z GRANOLA</t>
  </si>
  <si>
    <t>FY27_SS5_Yoplaitoriginal_$2</t>
  </si>
  <si>
    <t>OUI YOGURT VANILLA 8/5 OZ</t>
  </si>
  <si>
    <t>YOPLAIT ORIGINAL 24CT</t>
  </si>
  <si>
    <t>FY27_SS5_TeddieAllNaturalS_$1.65</t>
  </si>
  <si>
    <t>TEDDIES NATURAL SMOOTH PB 2/26OZ</t>
  </si>
  <si>
    <t>FY27_SS5_ANYNATUREMADE_$3</t>
  </si>
  <si>
    <t>NM PRENATAL + DHA</t>
  </si>
  <si>
    <t>NATURE MADE DIABETES HEALTH PACK 60DAY</t>
  </si>
  <si>
    <t>Keith:</t>
  </si>
  <si>
    <t>37837336</t>
  </si>
  <si>
    <t>FY27_SS5_ScottBathTissue_$3</t>
  </si>
  <si>
    <t>SCOTT 36/1100CT BATH TISSUE</t>
  </si>
  <si>
    <t>FY27_FOC5_GalbaniWholeM_$1</t>
  </si>
  <si>
    <t>GALBANI WHOLE MILK STRING CHEESE 30CT</t>
  </si>
  <si>
    <t>FY27_SS5_Puffs_$2</t>
  </si>
  <si>
    <t>PUFFS +LOTION CUBE 12/56CT</t>
  </si>
  <si>
    <t>PUFFS SOFT FLAT 12/124CT</t>
  </si>
  <si>
    <t>FY27_SS5_NV F&amp;N, NV S&amp;S_$3.75</t>
  </si>
  <si>
    <t>NATURE VALLEY 48CT FRUIT &amp; NUT</t>
  </si>
  <si>
    <t>FY27_FOC5_Cardini Salad _$1.75</t>
  </si>
  <si>
    <t>CARDINI CAESAR DRESSING, 2/20OZ</t>
  </si>
  <si>
    <t>BUTTERBALL TURKEY BREAST TENDERLOINS</t>
  </si>
  <si>
    <t>FY27_FOC5_FreshStepCatLitter_$3</t>
  </si>
  <si>
    <t>FRESH STEP WITH GAIN 42LB</t>
  </si>
  <si>
    <t>FRESHSTEP TRIPLE ACTION 42LB CLUMP SCENT</t>
  </si>
  <si>
    <t>NATURE MADE VITAMIN D GUMMIES 5000IU</t>
  </si>
  <si>
    <t>NM MULTI HIM GUMMIES +OMEGA 180CT</t>
  </si>
  <si>
    <t>FY27_SS5_ScoopAwayCompleteCatLit_$3</t>
  </si>
  <si>
    <t>SCOOP AWAY COMPLETE PERFORMANCEPLUS 42LB</t>
  </si>
  <si>
    <t>Kristy:</t>
  </si>
  <si>
    <t>5285455</t>
  </si>
  <si>
    <t>PUFFS +LOTION FLAT 12/124CT</t>
  </si>
  <si>
    <t>FY27_SS5_Wheat Thins_$2</t>
  </si>
  <si>
    <t>RITZ CRACKER 61.6 OZ</t>
  </si>
  <si>
    <t>FY27_SS5_Pringles_$3</t>
  </si>
  <si>
    <t>PRINGLES ORIGINAL 48 CT</t>
  </si>
  <si>
    <t>PRINGLES VARIETY SNACK STACK 48 CT</t>
  </si>
  <si>
    <t>FY27_SS5_DoveMensBar_$3</t>
  </si>
  <si>
    <t>DMC BW EXTRA FRESH 30Z 2</t>
  </si>
  <si>
    <t>DMC EXTRA FRESH 2/30OZ BODY WASH</t>
  </si>
  <si>
    <t>FY27_SS5_ExSimply_$3</t>
  </si>
  <si>
    <t>TIDE LIQ HE ORG DETERGENT 170OZ 152LD</t>
  </si>
  <si>
    <t>FY27_SS5_Head&amp;ShouldersHairCare_$2</t>
  </si>
  <si>
    <t>PANTENE 3N1 MULTICARE CONDITIONER 36.2OZ</t>
  </si>
  <si>
    <t>PANTENE REPAIR &amp; PROTECT COND, 36.2 OZ</t>
  </si>
  <si>
    <t>FY27_SS5_FITCrunch_$2.25</t>
  </si>
  <si>
    <t>FITCRUNCH CHCOCLATE CHIP MINT 18CT</t>
  </si>
  <si>
    <t>FY27_SS5_ WF Fresh Pasta_$2</t>
  </si>
  <si>
    <t>WF FOUR CHEESE RAVIOLI 36 OZ.</t>
  </si>
  <si>
    <t>WF ITALIAN SAUSAGE TORTELLONI 36 OZ.</t>
  </si>
  <si>
    <t>FY27_SS5_SNUGGLELFE_$3</t>
  </si>
  <si>
    <t>SNUGGLE BLUE SPARKLE, 159.8 OZ</t>
  </si>
  <si>
    <t>FY27_FOC5_ThomasBagels_$1</t>
  </si>
  <si>
    <t>THOMAS CINNAMON RAISIN BAGEL 6CT</t>
  </si>
  <si>
    <t>THOMAS PLAIN BAGEL 6CT</t>
  </si>
  <si>
    <t>Tom:</t>
  </si>
  <si>
    <t>9665302</t>
  </si>
  <si>
    <t>NATURE VALLEY 26CT PROTEIN BAR</t>
  </si>
  <si>
    <t>BELGIO SNACKING MOZZARELLA 18OZ</t>
  </si>
  <si>
    <t>BELGIO EXTRA SHARP PROVOLONE WEDGE LB</t>
  </si>
  <si>
    <t>NM TUMERIC, 180CT</t>
  </si>
  <si>
    <t>NATURE MADE MULTI FOR HIM GUMMIES 220 CT</t>
  </si>
  <si>
    <t>FY27_FOC5_GalbaniChunkM_$1.5</t>
  </si>
  <si>
    <t>GALBANI 3LB RICOTTA</t>
  </si>
  <si>
    <t>GALBANI MOZZ PROV SHREDDED 32OZ</t>
  </si>
  <si>
    <t>FY27_SS5_ListerineMouthwash_$1.50</t>
  </si>
  <si>
    <t>LISTERINE TOTAL CARE 3X1.0L</t>
  </si>
  <si>
    <t>LSTRINE 2/1.5L COOLMINT</t>
  </si>
  <si>
    <t>JD ORIGINAL LINKS 38.4OZ, 48CT</t>
  </si>
  <si>
    <t>SEAPAK SHRIMP TEMPURA</t>
  </si>
  <si>
    <t>FY27_SS5_NearEastRice_$1.75</t>
  </si>
  <si>
    <t>N EAST RICE PILAF 6/6.09OZ</t>
  </si>
  <si>
    <t>FY27_SS5_Kikkomansoysauce_$1.5</t>
  </si>
  <si>
    <t>KIKKOMAN 40 OZ L SODIUM SOY S</t>
  </si>
  <si>
    <t>LING LING CHIC/VEG POTSTICKER, 3.5LBS</t>
  </si>
  <si>
    <t>MEGHAN JOLIE:</t>
  </si>
  <si>
    <t>68770944</t>
  </si>
  <si>
    <t>ALWAYS ULTRA THIN PADS DUO PACK 74 CT.</t>
  </si>
  <si>
    <t>FY27_SS5_LaCroix_$1.50</t>
  </si>
  <si>
    <t>LA CROIX LGL VARIETY 24PK 12OZ</t>
  </si>
  <si>
    <t>FY27_SS5_ClearCarePlusUltra_$5</t>
  </si>
  <si>
    <t>CLEAR CARE PLUS LENS SOLUTION 2X16OZ</t>
  </si>
  <si>
    <t>SYSTANE ULTRA 3X10ML</t>
  </si>
  <si>
    <t>FY27_FOC5_KodaikCAkes_$1.50</t>
  </si>
  <si>
    <t>KODIAK POWER CAKES BUTTERMILK MIX 60OZ</t>
  </si>
  <si>
    <t>FY27_SS5_VitalProteinPowder_$5</t>
  </si>
  <si>
    <t>VITAL PROTEINS COLLAGEN PEP CHOC 32.56OZ</t>
  </si>
  <si>
    <t>FY27_SS5_AnyPowder_$2</t>
  </si>
  <si>
    <t>ARIEL POWDER 211OZ/6KG</t>
  </si>
  <si>
    <t>TIDE POWDER DETERGENT, 183 LOADS, 209 OZ</t>
  </si>
  <si>
    <t>BELGIO SNACKING PARMESAN 18OZ</t>
  </si>
  <si>
    <t>BELGIO 18 MONTH GRANA PARM WEDGE LB</t>
  </si>
  <si>
    <t>FY27_SS5_VerdeFrams_$3</t>
  </si>
  <si>
    <t>ORG GRASS FED 85% GRD BEEF</t>
  </si>
  <si>
    <t>PICK N' PACK, LAYS LAYS</t>
  </si>
  <si>
    <t>FY27_SS5_Russell Stover_$1.50</t>
  </si>
  <si>
    <t>RS 19.9Z SF ASST CHOCOLATES</t>
  </si>
  <si>
    <t>SAMANTHA MANZELLO:</t>
  </si>
  <si>
    <t>61620238</t>
  </si>
  <si>
    <t>FY27_FOC5_PERFECTBARCHO_$1.5</t>
  </si>
  <si>
    <t>PERFECT BAR CHOC CHIP PEANUT BTR 6CT.</t>
  </si>
  <si>
    <t>FY27_SS5_FinishQuantumorPower_$3</t>
  </si>
  <si>
    <t>FINISH QUANTUM AUTO DISH 100CT</t>
  </si>
  <si>
    <t>FY27_SS5_Bone Pork_$2</t>
  </si>
  <si>
    <t>PORK SHOULDER BOSTON BUTT</t>
  </si>
  <si>
    <t>PORK PICNIC CRYOVAC (MA)</t>
  </si>
  <si>
    <t>FY27_SS5_OBParchmentPaper_$1</t>
  </si>
  <si>
    <t>BJ 15" PARCHMENT 3PK/225SF</t>
  </si>
  <si>
    <t>FY27_SS5_VanityFairNapkins_$1.50</t>
  </si>
  <si>
    <t>VF DINNER 3PLY NAPKIN 240CT</t>
  </si>
  <si>
    <t>FY27_SS5_(2)Bounty/Charmin_$10</t>
  </si>
  <si>
    <t>BOUNTY 48RE SAS 12/164CT</t>
  </si>
  <si>
    <t>CHARMIN STRONG 132RE 30/230CT</t>
  </si>
  <si>
    <t>ALWAYS MAXI SIZE 5 PAD 54CT</t>
  </si>
  <si>
    <t>SONYA MCCORMACK:</t>
  </si>
  <si>
    <t>61842674</t>
  </si>
  <si>
    <t>FY27_SS5_DAnnonOikos_$2</t>
  </si>
  <si>
    <t>DANNON OIKOS TRIPLE ZERO 18 CT.</t>
  </si>
  <si>
    <t>FY27_FOC5_Locatelli Grated_$2</t>
  </si>
  <si>
    <t>LOCATELLI PECROMANO WEDGE LB</t>
  </si>
  <si>
    <t>FY27_FOC5_Love Beets_$1</t>
  </si>
  <si>
    <t>COOKED BEETS 35.2OZ</t>
  </si>
  <si>
    <t>FY27_FOC5_Heinz Picnic_$1.75</t>
  </si>
  <si>
    <t>HEINZ 118.0 OZ PIC NIC PACK</t>
  </si>
  <si>
    <t>FY27_SS5_ECOSENZYMEDETERGENT_$4</t>
  </si>
  <si>
    <t>ECOS ENZYME LAUNDRY DETERGENT 230LD</t>
  </si>
  <si>
    <t>TIDE FREE LIQ HE ORG 170OZ 152LD</t>
  </si>
  <si>
    <t>Kelsey Gainor:</t>
  </si>
  <si>
    <t>70558415</t>
  </si>
  <si>
    <t>LOCATELLI PECROMANO BAG 16OZ</t>
  </si>
  <si>
    <t>CHARMIN SOFT MXL 180RE 30/312CT</t>
  </si>
  <si>
    <t>PICK N' PACK, TOSTITOS DORITOS</t>
  </si>
  <si>
    <t>PICK N' PACK</t>
  </si>
  <si>
    <t>VITAL PROTEINS COLLAGEN PEPTIDES  24OZ</t>
  </si>
  <si>
    <t>FY27_SS5_SecretGilletteBodyWash_$2</t>
  </si>
  <si>
    <t>OLAY FRESH BW NCTR/BRCHWTR, 35OZ/2PK</t>
  </si>
  <si>
    <t>NATIVE CCNT&amp;VNLA WBDEO 6.9OZ/3PK</t>
  </si>
  <si>
    <t>WF ORG GRANNY 8/5LB</t>
  </si>
  <si>
    <t>FY27_SS5_ChinetClassicPlate_$5</t>
  </si>
  <si>
    <t>CHINET MLD FBR PLATTER 100CT</t>
  </si>
  <si>
    <t>CHINET MLD FBR BOWL 16OZ 150CT</t>
  </si>
  <si>
    <t>DMC SENS SKIN 2/30OZ BODY WASH</t>
  </si>
  <si>
    <t>FY27_SS5_ Al Fresco_$5</t>
  </si>
  <si>
    <t>ALFRESCO TOMATO BASIL MOZZRLLA CHKN SSG</t>
  </si>
  <si>
    <t>ALFRESCO ITALIAN CHICKEN SAUSAGE 32 OZ.</t>
  </si>
  <si>
    <t>Michelle Crockford:</t>
  </si>
  <si>
    <t>58432200</t>
  </si>
  <si>
    <t>ABF GROUND TURKEY 2.5LB</t>
  </si>
  <si>
    <t>FY27_SS5_Nutella_$2</t>
  </si>
  <si>
    <t>NUTELLA 2/26.5OZ JAR</t>
  </si>
  <si>
    <t>PANTENE 3N1 MULTICARE SHAMPOO 36.2OZ</t>
  </si>
  <si>
    <t>PANTENE REPAIR &amp; PROTECT SHAMP. 36.2 OZ</t>
  </si>
  <si>
    <t>TAMPAX PEARL REGULAR 96CT</t>
  </si>
  <si>
    <t>ALWAYS XTRA PROTECTON 200CT</t>
  </si>
  <si>
    <t>FY27_SS5_PaneraBread_$2</t>
  </si>
  <si>
    <t>PANERA 48 OZ SQUASH SOUP</t>
  </si>
  <si>
    <t>PANERA MAC&amp;CHEESE QUAD PACK</t>
  </si>
  <si>
    <t>WF FIVE CHEESE TORTELLONI 48 OZ.</t>
  </si>
  <si>
    <t>FY27_SS5_MadeGood_$2</t>
  </si>
  <si>
    <t>MADEGOOD CHOCOLATE CHIP BARS 24CT 0.85Z</t>
  </si>
  <si>
    <t>FY27_SS5_GoGoSqueez_$3</t>
  </si>
  <si>
    <t>GOGO SQUEEZ ACTIVE FRUIT BLENDS18CT</t>
  </si>
  <si>
    <t>GOGO SQUEEZ ORG APPLESAUCE 28/3.2 OZ</t>
  </si>
  <si>
    <t>Match 1:</t>
  </si>
  <si>
    <t>2836659</t>
  </si>
  <si>
    <t>FRITO LAY PICK N' PACK</t>
  </si>
  <si>
    <t>PICK N' PACK, TOSTITOS TOSTITOS</t>
  </si>
  <si>
    <t>CLAM SHACK SHRIMP &amp; CORN CHOWDER 48OZ</t>
  </si>
  <si>
    <t>KIKKOMAN 64 OZ SOY SAUCE</t>
  </si>
  <si>
    <t>CHARMIN STRONG MXL 180RE 30/330CT</t>
  </si>
  <si>
    <t>NATURE MADE VITAMIN E 400IU 350CT</t>
  </si>
  <si>
    <t>MOREY'S GARLIC HERB COD</t>
  </si>
  <si>
    <t>FY27_SS5_FrostedMini_$2</t>
  </si>
  <si>
    <t>KELLOGG'S FROSTED MINI WHEATS 55 OZ</t>
  </si>
  <si>
    <t>Match 2:</t>
  </si>
  <si>
    <t>4003915</t>
  </si>
  <si>
    <t>PICK N' PACK, LAYS/SMARTFOOD</t>
  </si>
  <si>
    <t>FY27_FOC27_Wyman's Frozen_$1.50</t>
  </si>
  <si>
    <t>WYMANS BLUESTRAWBAN 3LB</t>
  </si>
  <si>
    <t>WYMAN'S FRZ WILD BLUEBERRIES 4LB</t>
  </si>
  <si>
    <t>FY27_SS5_BUBBA Burger_$3</t>
  </si>
  <si>
    <t>BUBBA BRGR 12/4 LB ANGUS</t>
  </si>
  <si>
    <t>BUBBA 12/5.3OZ BURGER W/ONION</t>
  </si>
  <si>
    <t>FY27_SS5_$2offEnergizerBatteries</t>
  </si>
  <si>
    <t>ENERGIZER MAX AA 32PK</t>
  </si>
  <si>
    <t>ENERGIZER ULTIMATE LITHIUM AAA-18PK</t>
  </si>
  <si>
    <t>NM MELATONIN FAST DISSOLVE 10MG 125CT</t>
  </si>
  <si>
    <t>FY27_SS5_KerrygoldDublin_$2</t>
  </si>
  <si>
    <t>KERRYGOLD RESERVE CHEDDAR 1.32 LBS</t>
  </si>
  <si>
    <t>WF SPINACH AND CHEESE RAVIOLI 38 OZ.</t>
  </si>
  <si>
    <t>FY27_SS5_Any Stouffe_$2</t>
  </si>
  <si>
    <t>STOUFFER 2/40Z MACARONI &amp; CHZ</t>
  </si>
  <si>
    <t>LC CHICKEN FETT &amp; SWEDISH MBALLS 4PK.</t>
  </si>
  <si>
    <t>FY27_SS5_Betty Crocker_$3</t>
  </si>
  <si>
    <t>FRUIT BY THE FOOT 48CT</t>
  </si>
  <si>
    <t>Match 3:</t>
  </si>
  <si>
    <t>4774762</t>
  </si>
  <si>
    <t>FY27_SS5_BallParkHotDo_$2</t>
  </si>
  <si>
    <t>BALLPARK BEEF 45OZ</t>
  </si>
  <si>
    <t>FY27_SS5_Previously Frozen _$2</t>
  </si>
  <si>
    <t>WF PREV. FROZEN COD FILLET</t>
  </si>
  <si>
    <t>CHARMIN SOFT 132RE 30/230CT</t>
  </si>
  <si>
    <t>FY27_SS5_SNUGGLESHEETS_$1.25</t>
  </si>
  <si>
    <t>SNUGGLE BLUE SPARKLE SHEETS 320CT</t>
  </si>
  <si>
    <t>FY27_SS5_San pellegrino_$4</t>
  </si>
  <si>
    <t>MAISON PERRIER UNFLAVORED 24PK/16.9OZ</t>
  </si>
  <si>
    <t>S PELLEGRINO ESSENZA 24PK/11.15OZ</t>
  </si>
  <si>
    <t>FY27_SS5_LandOLakesAme_$1.5</t>
  </si>
  <si>
    <t>L O LAKES SLICED YEL AMER CHS 72CT.</t>
  </si>
  <si>
    <t>FY27_SS5_TideLiquid&amp;DownyBead_$10</t>
  </si>
  <si>
    <t>DOWNY APRIL FRESH OF BEADS 35 OZ.</t>
  </si>
  <si>
    <t>Match 4:</t>
  </si>
  <si>
    <t>33352891</t>
  </si>
  <si>
    <t>FY27_SS5_PregoSauce_$1.5</t>
  </si>
  <si>
    <t>PREGO TRADITIONAL 3 X 45 OZ</t>
  </si>
  <si>
    <t>FY27_SS5_ICANTBELIEVEI_$1.5</t>
  </si>
  <si>
    <t>I CANT BELIEVE ITS 2/30Z VEG OIL SPREAD</t>
  </si>
  <si>
    <t>WHEAT THINS ORIGINAL 40 OZ</t>
  </si>
  <si>
    <t>FY27_SS5_ColgateToothpaste_$2.50</t>
  </si>
  <si>
    <t>HELLO KIDS  TP 4.2Z 3PK 270CT</t>
  </si>
  <si>
    <t>COLGATE TOTAL WHITENING GEL 6OZ 5PK</t>
  </si>
  <si>
    <t>FY27_SS5_GilletteRazorBladeRefill_$5</t>
  </si>
  <si>
    <t>SENSOR3 SENSITIVE MEN'S DISP. RZS, 24CT</t>
  </si>
  <si>
    <t>SEAPAK BUTTERFLY SHRIMP 32OZ</t>
  </si>
  <si>
    <t>UnMatch 1:</t>
  </si>
  <si>
    <t>2390325</t>
  </si>
  <si>
    <t>FY27_FOC5_MILANO_$1</t>
  </si>
  <si>
    <t>MILANO 20CT 15 OZ</t>
  </si>
  <si>
    <t>CHINET MLD FBR 8.7" LUNCH PLATE 225CT</t>
  </si>
  <si>
    <t>TIDE LIQUID HYGIENIC CLEAN 166OZ/130LDS.</t>
  </si>
  <si>
    <t>GAIN ORIGINAL FIREWORKS 39.9OZ</t>
  </si>
  <si>
    <t>FY27_SS5_JetDry38oz&amp;32oz_$2.5</t>
  </si>
  <si>
    <t>FINISH JET DRY 38 OZ</t>
  </si>
  <si>
    <t>FY27_SS5_HEFTY13GFABULOSO_$3.25</t>
  </si>
  <si>
    <t>HEFTY US FABULOSO 13GAL DS 130CT</t>
  </si>
  <si>
    <t>UnMatch 2:</t>
  </si>
  <si>
    <t>7377514</t>
  </si>
  <si>
    <t>FY27_SS5_WiseVariety_$1</t>
  </si>
  <si>
    <t>WISE VARIETY 50 CT</t>
  </si>
  <si>
    <t>FY27_SS5_FIJI Water_$2</t>
  </si>
  <si>
    <t>FIJI WATER 24/16.9OZ</t>
  </si>
  <si>
    <t>FY27_SS5_GainLiqFlings_$3</t>
  </si>
  <si>
    <t>GAIN+OXI LIQ DTRG MNLTBRZE 159 LD, 170OZ</t>
  </si>
  <si>
    <t>GAIN+OXI LIQ DTRGNT ORG, 159 LDS, 170 OZ</t>
  </si>
  <si>
    <t>FY27_SS5_ChinetCrystal_$2</t>
  </si>
  <si>
    <t>CHINET CUT CRYSTAL 9OZ 100CT</t>
  </si>
  <si>
    <t>FY27_SS5_GoldFishSweet_$2</t>
  </si>
  <si>
    <t>GOLDFISH SWEET &amp; SAVORY VEND 45 CT</t>
  </si>
  <si>
    <t>S PELLEGRINO PET 24/16.9OZ</t>
  </si>
  <si>
    <t>SAN PEL ZERO PEACH/POM VAR 24PK/300ML</t>
  </si>
  <si>
    <t>UnMatch 3:</t>
  </si>
  <si>
    <t>8248476</t>
  </si>
  <si>
    <t>FY27_SS5_GoodSeasonsSaladD_$1</t>
  </si>
  <si>
    <t>KRAFT THOUSAND ISLAND 2/24OZ</t>
  </si>
  <si>
    <t>FY27_FOC5_SIMPLYORANGEJ_$1</t>
  </si>
  <si>
    <t>SIMPLY ORANGE JUICE 2/46OZ</t>
  </si>
  <si>
    <t>FY27_SS5_SToKUnsweetened_$2</t>
  </si>
  <si>
    <t>STOK UNS EX BOLD COLD BREW COFFEE 2 48Z.</t>
  </si>
  <si>
    <t>FY27_SS5_NathansBeefFr_$2</t>
  </si>
  <si>
    <t>NATHANS 1/4LB. BEEF FRANKS 48OZ</t>
  </si>
  <si>
    <t>UnMatch 4:</t>
  </si>
  <si>
    <t>40285602</t>
  </si>
  <si>
    <t>KELLOGG'S RICE KRISPIES 42OZ</t>
  </si>
  <si>
    <t>FY27_SS5_IntuitionWomensSystem_$5</t>
  </si>
  <si>
    <t>SCHICK XTREME3 20CT 3 BLADE</t>
  </si>
  <si>
    <t>INTUITION SEN REFILL 12CT RZ+1H</t>
  </si>
  <si>
    <t>FY27_SS5_Propel_$1.25</t>
  </si>
  <si>
    <t>PROPEL 24/16.9 VAR FITNES WTR</t>
  </si>
  <si>
    <t>FY27_FOC5_ZeissLensWipes_$1</t>
  </si>
  <si>
    <t>ZEISS LENS WIPE 220CT</t>
  </si>
  <si>
    <t>FORMAGGIO MARINATED CILIENGINE 24OZ</t>
  </si>
  <si>
    <t>FORMAGGIO CHARCUTERIE TRAY, 12 OZ.</t>
  </si>
  <si>
    <t>THOMAS ONION BAGEL 6CT</t>
  </si>
  <si>
    <t>ENERGIZER MAX D 14PK</t>
  </si>
  <si>
    <t>FY27_SS5_ Del Monte_$2</t>
  </si>
  <si>
    <t>DELMT 8/15 OZ SWEET PEAS</t>
  </si>
  <si>
    <t>DM WHOLE CORN 12/15.25Z</t>
  </si>
  <si>
    <t>cell_id 1740 - no backfills.:</t>
  </si>
  <si>
    <t>56305554</t>
  </si>
  <si>
    <t>52621381</t>
  </si>
  <si>
    <t>GILLETTE CLEAR GEL CW 3.8OZ 5-PACK</t>
  </si>
  <si>
    <t>TOMS OF MAINE TOOTHPASTE 4 PACK, 4.5OZ</t>
  </si>
  <si>
    <t>COLGATE TOTAL WHITENING PASTE 6OZ 5PK</t>
  </si>
  <si>
    <t>FY27_SS5_BjsBabyWipes_$2</t>
  </si>
  <si>
    <t>BERKLEY JENSEN BABY WIPES GTCC 1080CT</t>
  </si>
  <si>
    <t>FY27_SS5_SnappleZero_$4</t>
  </si>
  <si>
    <t>SNAPPLE DRINKS 24/20 OZ PET</t>
  </si>
  <si>
    <t>FY27_SS5_CarnationEvaporated_$1.75</t>
  </si>
  <si>
    <t>CARN.  8/12 OZ EVAPORATED MLK</t>
  </si>
  <si>
    <t>LSTRINE 2/1.5L ORIGINAL</t>
  </si>
  <si>
    <t>FY27_FOC5_SoftScrub_$1.50</t>
  </si>
  <si>
    <t>SOFT SCRUB W/BLEACH 3PK</t>
  </si>
  <si>
    <t>TIDE LIQUID WITH DOWNY 147OZ. 115 LDS.</t>
  </si>
  <si>
    <t>FY27_SS5_ Bertolli White_$1.5</t>
  </si>
  <si>
    <t>BERTOLLI GARLIC ALFREDO SAUCE 3 X 15OZ</t>
  </si>
  <si>
    <t>cell_id 1741 - no backfills.:</t>
  </si>
  <si>
    <t>31949357</t>
  </si>
  <si>
    <t>50250921</t>
  </si>
  <si>
    <t>CLAM SHACK CLAM CHOWDER</t>
  </si>
  <si>
    <t>FY27_SS5_StonyfieldOrgan_$2</t>
  </si>
  <si>
    <t>STONYFIELD STRAW SMOOTH PROBIOTICS 12 CT</t>
  </si>
  <si>
    <t>PICK N' PACK, RSTC/RUFFLES</t>
  </si>
  <si>
    <t>FY27_SS5_TidePods_$4</t>
  </si>
  <si>
    <t>TIDE PODS FREE &amp; GENTLE 152 CT.</t>
  </si>
  <si>
    <t>BELGIO 10 MONTH PARM WEDGE 1LB</t>
  </si>
  <si>
    <t>PANERA CHICKEN SOUP QUAD PACK</t>
  </si>
  <si>
    <t>SNAPPLE 24/20Z VAR TEA-PET</t>
  </si>
  <si>
    <t>GOGO SQUEEZ FRUIT AND VEG VP 24PK 3.2OZ</t>
  </si>
  <si>
    <t>PICK N' PACK, LAYS DORITOS</t>
  </si>
  <si>
    <t>FY27_FOC5_Hillshire Lil'_$3</t>
  </si>
  <si>
    <t>HILLSHIRE FARM LIT'L SMOKIES 48OZ.</t>
  </si>
  <si>
    <t>cell_id 1742 - no backfills.:</t>
  </si>
  <si>
    <t>81392502</t>
  </si>
  <si>
    <t>79801409</t>
  </si>
  <si>
    <t>FY27_SS5_AnyHiddenValleyRa_$2</t>
  </si>
  <si>
    <t>HIDDEN VALLEY RANCH 2/40OZ</t>
  </si>
  <si>
    <t>ENERGIZER MAX AAA 48PK</t>
  </si>
  <si>
    <t>SNAPPLE ZERO SUGAR TEA VAR 24PK 20OZ</t>
  </si>
  <si>
    <t>FY27_FOC27_Stuffed Foods_$2</t>
  </si>
  <si>
    <t>SF POTATO CHEDDAR BACON TOT 32OZ.</t>
  </si>
  <si>
    <t>cell_id 1743 - no backfills.:</t>
  </si>
  <si>
    <t>62437224</t>
  </si>
  <si>
    <t>56639458</t>
  </si>
  <si>
    <t>GOGO SQUEEZ YOGURTZ 24PK 3OZ</t>
  </si>
  <si>
    <t>FY27_SS5_OreoVariety_$2</t>
  </si>
  <si>
    <t>MINI OREO VARIETY PACK 30CT</t>
  </si>
  <si>
    <t>PANTENE PRO-V MOISTURE COND 36.2 OZ</t>
  </si>
  <si>
    <t>FY27_SS5_POCKY_$2</t>
  </si>
  <si>
    <t>POCKY 10CT</t>
  </si>
  <si>
    <t>FY27_SS5_HuggiesPullUpsor_$4</t>
  </si>
  <si>
    <t>GOODNITES BOY TRAINING PANT XL 46CT</t>
  </si>
  <si>
    <t>COLGATE MAX FRESH 7.3OZ 5PK TOOTHPASTE</t>
  </si>
  <si>
    <t>FY27_SS5_WFspanikoptia_$2</t>
  </si>
  <si>
    <t>WF SPINACH &amp; ARTICHOKE DIP 2/16 OZ</t>
  </si>
  <si>
    <t>FY27_SS5_KingOscarSardines_$2</t>
  </si>
  <si>
    <t>K OSCAR 4/3.75 SARDINES/OIL</t>
  </si>
  <si>
    <t>BOUNTY 35RE SAS 12/121CT</t>
  </si>
  <si>
    <t>cell_id 1744 - no backfills.:</t>
  </si>
  <si>
    <t>76832423</t>
  </si>
  <si>
    <t>74554290</t>
  </si>
  <si>
    <t>TIDE LIQUID SPORT 166OZ/130 LOADS</t>
  </si>
  <si>
    <t>FY27_SS5_GhiradelliChocolate_$2</t>
  </si>
  <si>
    <t>GHIRADELLI 3PK TRIP CH COOKIE</t>
  </si>
  <si>
    <t>DOWNY APRIL FRESH PROTECT BEADS 39.9OZ</t>
  </si>
  <si>
    <t>FITCRUNCH CHOCOLATE PEANUT BUTTER 1.62OZ</t>
  </si>
  <si>
    <t>FY27_SS5_ColgateToothbrush_$2.50</t>
  </si>
  <si>
    <t>COLGATE 360 BASE 8PK TOOTHBRUSH SOFT&amp;MED</t>
  </si>
  <si>
    <t>CHINET MLD FBR 10" DINNER PLATE 165CT</t>
  </si>
  <si>
    <t>FY27_SS5_Airheads_$4</t>
  </si>
  <si>
    <t>AIRHEADS 90 CT SOFT'NCHEWY</t>
  </si>
  <si>
    <t>FINISH ULTIMATE  90 TABS</t>
  </si>
  <si>
    <t>FY27_SS5_NissinCupNo_$2.25</t>
  </si>
  <si>
    <t>NISSIN CUP CHICKEN 24/2.25OZ</t>
  </si>
  <si>
    <t>cell_id 1745 - no backfills.:</t>
  </si>
  <si>
    <t>71521662</t>
  </si>
  <si>
    <t>FY27_SS5_Vita Coco_$3</t>
  </si>
  <si>
    <t>VITA COCO COCONUT WATER 18PK/330ML</t>
  </si>
  <si>
    <t>NMADE 2/200GEL FSH OIL 1200MG</t>
  </si>
  <si>
    <t>FY27_SS5_PedigreeWetCans_$5</t>
  </si>
  <si>
    <t>PEDIGREE POUCH 54CT</t>
  </si>
  <si>
    <t>LISTERINE POCKETPAKS 6X72 CT</t>
  </si>
  <si>
    <t>COLGATE SNSITVE WHTNING THPSTE 6OZ 4PK</t>
  </si>
  <si>
    <t>NM MAGNESIUM CITRATE 250MG 180CT</t>
  </si>
  <si>
    <t>GILLETTE PROGLIDE HANDLE + 13CT</t>
  </si>
  <si>
    <t>CPN_NBR</t>
  </si>
  <si>
    <t>cpn_desc</t>
  </si>
  <si>
    <t>NUM_ARTICLES</t>
  </si>
  <si>
    <t>article Promo #</t>
  </si>
  <si>
    <t>article Promo Description</t>
  </si>
  <si>
    <t>article Promo Type</t>
  </si>
  <si>
    <t>cpn_start</t>
  </si>
  <si>
    <t>cpn_end</t>
  </si>
  <si>
    <t>Article Number</t>
  </si>
  <si>
    <t>Quantity Threshold</t>
  </si>
  <si>
    <t>article Discount Value</t>
  </si>
  <si>
    <t>article Eligible for MMPC</t>
  </si>
  <si>
    <t>self_funded_flag</t>
  </si>
  <si>
    <t>%Backfill</t>
  </si>
  <si>
    <t>average slot number</t>
  </si>
  <si>
    <t>2230621</t>
  </si>
  <si>
    <t>1000000063</t>
  </si>
  <si>
    <t>Paper Coupon</t>
  </si>
  <si>
    <t>3/19/2026</t>
  </si>
  <si>
    <t>4/27/2026</t>
  </si>
  <si>
    <t xml:space="preserve">19572,275185,275185001,275185002,275185003,275185004,275185005,275185006,275185007,275185008,275185009,275185010,275185011, </t>
  </si>
  <si>
    <t>0</t>
  </si>
  <si>
    <t>2236439</t>
  </si>
  <si>
    <t>1000000200</t>
  </si>
  <si>
    <t xml:space="preserve">693713, </t>
  </si>
  <si>
    <t>2231284</t>
  </si>
  <si>
    <t>1000000157</t>
  </si>
  <si>
    <t xml:space="preserve">326938,335416,339135,344580,344581,344582, </t>
  </si>
  <si>
    <t>2230598</t>
  </si>
  <si>
    <t>1000000061</t>
  </si>
  <si>
    <t xml:space="preserve">175674,323231, </t>
  </si>
  <si>
    <t>2231258</t>
  </si>
  <si>
    <t>TIDE LIQUID ULTRA OXI 147OZ. 115 LOADS</t>
  </si>
  <si>
    <t>1000000139</t>
  </si>
  <si>
    <t xml:space="preserve">331440,331443,331444,331445,331447,338659,338663,338763,338764,343330,348408, </t>
  </si>
  <si>
    <t>2231283</t>
  </si>
  <si>
    <t>1000000156</t>
  </si>
  <si>
    <t xml:space="preserve">247076,320770,327708,330778, </t>
  </si>
  <si>
    <t>2231297</t>
  </si>
  <si>
    <t>1000000167</t>
  </si>
  <si>
    <t xml:space="preserve">12897,13341,167701,21246,21247,22763,239745,239746,294223,294225,294655,29498,299492,299510,299512,315841,315843,315844,315845,315878,315879,31637,319748,324408,324420,325413,328505,329176,329484,329485,329486,330227,33165,33208,336475,346046,346048,346049,346061,346079,38326,62682,689789,701754,702069,702410,704327,706900, </t>
  </si>
  <si>
    <t>2231265</t>
  </si>
  <si>
    <t>1000000142</t>
  </si>
  <si>
    <t xml:space="preserve">302291,302292, </t>
  </si>
  <si>
    <t>2230732</t>
  </si>
  <si>
    <t>1000000115</t>
  </si>
  <si>
    <t xml:space="preserve">11033,160685,247685,28327,314003,32553,37123,984425,984527, </t>
  </si>
  <si>
    <t>2231254</t>
  </si>
  <si>
    <t>1000000172</t>
  </si>
  <si>
    <t xml:space="preserve">337916, </t>
  </si>
  <si>
    <t>3.25</t>
  </si>
  <si>
    <t>2230835</t>
  </si>
  <si>
    <t>PANERA SOUTHWEST CHICKEN SOUP 48OZ</t>
  </si>
  <si>
    <t>1000000128</t>
  </si>
  <si>
    <t xml:space="preserve">20159,245666,280885,329454,329620,347554,347567,54044,78986,79031,79042,79068, </t>
  </si>
  <si>
    <t>2230703</t>
  </si>
  <si>
    <t>1000000024</t>
  </si>
  <si>
    <t xml:space="preserve">277983,283829,3397,380199,9291, </t>
  </si>
  <si>
    <t>2236071</t>
  </si>
  <si>
    <t>1000000052</t>
  </si>
  <si>
    <t xml:space="preserve">28871,9078, </t>
  </si>
  <si>
    <t>2230596</t>
  </si>
  <si>
    <t>1000000059</t>
  </si>
  <si>
    <t xml:space="preserve">68313,69261, </t>
  </si>
  <si>
    <t>2237610</t>
  </si>
  <si>
    <t>1000000206</t>
  </si>
  <si>
    <t xml:space="preserve">244506,267368,267369,287479,324921,325492,340867, </t>
  </si>
  <si>
    <t>2.5</t>
  </si>
  <si>
    <t>2230737</t>
  </si>
  <si>
    <t>1000000037</t>
  </si>
  <si>
    <t xml:space="preserve">331178,343916,93783,982295, </t>
  </si>
  <si>
    <t>2230715</t>
  </si>
  <si>
    <t>1000000110</t>
  </si>
  <si>
    <t xml:space="preserve">313769, </t>
  </si>
  <si>
    <t>1.5</t>
  </si>
  <si>
    <t>2231253</t>
  </si>
  <si>
    <t>1000000171</t>
  </si>
  <si>
    <t xml:space="preserve">330500, </t>
  </si>
  <si>
    <t>2230764</t>
  </si>
  <si>
    <t>1000000188</t>
  </si>
  <si>
    <t xml:space="preserve">234159,234302,335064,335070,335073,335077,335084,335396,335397,335398, </t>
  </si>
  <si>
    <t>2230709</t>
  </si>
  <si>
    <t>1000000199</t>
  </si>
  <si>
    <t xml:space="preserve">33406, </t>
  </si>
  <si>
    <t>2231281</t>
  </si>
  <si>
    <t>1000000154</t>
  </si>
  <si>
    <t xml:space="preserve">217523,245224,326314,327110, </t>
  </si>
  <si>
    <t>2230595</t>
  </si>
  <si>
    <t>1000000058</t>
  </si>
  <si>
    <t xml:space="preserve">12182, </t>
  </si>
  <si>
    <t>2230653</t>
  </si>
  <si>
    <t>1000000087</t>
  </si>
  <si>
    <t xml:space="preserve">251816,347509, </t>
  </si>
  <si>
    <t>2231344</t>
  </si>
  <si>
    <t>WF SPANAKOPITA, 44CT.</t>
  </si>
  <si>
    <t>1000000175</t>
  </si>
  <si>
    <t xml:space="preserve">328642,328643,328644,328641, </t>
  </si>
  <si>
    <t>2230677</t>
  </si>
  <si>
    <t>STOUFFERS LASAGNA W/MEAT SAUCE, 4PK</t>
  </si>
  <si>
    <t>1000000101</t>
  </si>
  <si>
    <t xml:space="preserve">101768,223735,251459,26729,350086,352809,39553, </t>
  </si>
  <si>
    <t>2230625</t>
  </si>
  <si>
    <t>1000000182</t>
  </si>
  <si>
    <t xml:space="preserve">12465,37154, </t>
  </si>
  <si>
    <t>2230619</t>
  </si>
  <si>
    <t>OREO VEND PACK 30 CT</t>
  </si>
  <si>
    <t>1000000181</t>
  </si>
  <si>
    <t xml:space="preserve">234319,71656, </t>
  </si>
  <si>
    <t>2237608</t>
  </si>
  <si>
    <t>1000000204</t>
  </si>
  <si>
    <t xml:space="preserve">20506,20509,221429,34253, </t>
  </si>
  <si>
    <t>2230627</t>
  </si>
  <si>
    <t>DM CUT GREEN BEANS 12/14.5Z</t>
  </si>
  <si>
    <t>1000000066</t>
  </si>
  <si>
    <t xml:space="preserve">28035,314074,314910,34444, </t>
  </si>
  <si>
    <t>2231263</t>
  </si>
  <si>
    <t>GAIN FLINGS MOONLIGHT BREEZE 152CT</t>
  </si>
  <si>
    <t>1000000140</t>
  </si>
  <si>
    <t xml:space="preserve">265774,305785,329567,329568, </t>
  </si>
  <si>
    <t>2230654</t>
  </si>
  <si>
    <t>1000000088</t>
  </si>
  <si>
    <t>Clipless Coupon</t>
  </si>
  <si>
    <t xml:space="preserve">136154, </t>
  </si>
  <si>
    <t>2235253</t>
  </si>
  <si>
    <t>1000000194</t>
  </si>
  <si>
    <t xml:space="preserve">257234,315901,328703,333553,338332,338333,338334,34150,345985,346075,346076,57115,697297,699240,699241, </t>
  </si>
  <si>
    <t>2230702</t>
  </si>
  <si>
    <t>1000000023</t>
  </si>
  <si>
    <t xml:space="preserve">222452, </t>
  </si>
  <si>
    <t>2232029</t>
  </si>
  <si>
    <t>1000000177</t>
  </si>
  <si>
    <t xml:space="preserve">281509,281885,282391,282401, </t>
  </si>
  <si>
    <t>2230717</t>
  </si>
  <si>
    <t>1000000112</t>
  </si>
  <si>
    <t xml:space="preserve">96253, </t>
  </si>
  <si>
    <t>2231282</t>
  </si>
  <si>
    <t>1000000155</t>
  </si>
  <si>
    <t xml:space="preserve">11506, </t>
  </si>
  <si>
    <t>2230696</t>
  </si>
  <si>
    <t>1000000021</t>
  </si>
  <si>
    <t xml:space="preserve">341142, </t>
  </si>
  <si>
    <t>2231279</t>
  </si>
  <si>
    <t>FY27_SS5_OBSteamPans_$1</t>
  </si>
  <si>
    <t>BJ HALF STEAM TABLE 30CT</t>
  </si>
  <si>
    <t>1000000152</t>
  </si>
  <si>
    <t xml:space="preserve">311112,311116, </t>
  </si>
  <si>
    <t>2230725</t>
  </si>
  <si>
    <t>1000000113</t>
  </si>
  <si>
    <t xml:space="preserve">257051,257052, </t>
  </si>
  <si>
    <t>2230713</t>
  </si>
  <si>
    <t>1000000027</t>
  </si>
  <si>
    <t xml:space="preserve">29574, </t>
  </si>
  <si>
    <t>2230714</t>
  </si>
  <si>
    <t>1000000203</t>
  </si>
  <si>
    <t xml:space="preserve">14114, </t>
  </si>
  <si>
    <t>0.5</t>
  </si>
  <si>
    <t>2230700</t>
  </si>
  <si>
    <t>1000000107</t>
  </si>
  <si>
    <t xml:space="preserve">327135,327136, </t>
  </si>
  <si>
    <t>2230623</t>
  </si>
  <si>
    <t>1000000004</t>
  </si>
  <si>
    <t xml:space="preserve">31439, </t>
  </si>
  <si>
    <t>2230678</t>
  </si>
  <si>
    <t>1000000102</t>
  </si>
  <si>
    <t xml:space="preserve">27975,27976, </t>
  </si>
  <si>
    <t>2230393</t>
  </si>
  <si>
    <t>1000000055</t>
  </si>
  <si>
    <t>28292, 32424</t>
  </si>
  <si>
    <t>1.49</t>
  </si>
  <si>
    <t>2231245</t>
  </si>
  <si>
    <t>OLAY MRB BODY WASH TWIN PACK,35OZ</t>
  </si>
  <si>
    <t>1000000135</t>
  </si>
  <si>
    <t xml:space="preserve">272407,322634,328299,336662,339386,342644,346045,346063, </t>
  </si>
  <si>
    <t>2230597</t>
  </si>
  <si>
    <t>FY27_SS5_Planters_$2</t>
  </si>
  <si>
    <t>PLANTERS SALTED PEANUTS 56 OZ</t>
  </si>
  <si>
    <t>1000000060</t>
  </si>
  <si>
    <t xml:space="preserve">13400,243485,30950, </t>
  </si>
  <si>
    <t>2233676</t>
  </si>
  <si>
    <t>FY27_SS5_EightOriginal_$3</t>
  </si>
  <si>
    <t>EOC ORIGINAL WHOLE BEAN 38 OZ</t>
  </si>
  <si>
    <t>1000000178</t>
  </si>
  <si>
    <t xml:space="preserve">347339, </t>
  </si>
  <si>
    <t>2231276</t>
  </si>
  <si>
    <t>1000000149</t>
  </si>
  <si>
    <t xml:space="preserve">229032,28491, </t>
  </si>
  <si>
    <t>2230691</t>
  </si>
  <si>
    <t>1000000020</t>
  </si>
  <si>
    <t xml:space="preserve">216083,216084, </t>
  </si>
  <si>
    <t>2230640</t>
  </si>
  <si>
    <t>HIDDEN VALLEY LT ORIG RANCH 6/2X40</t>
  </si>
  <si>
    <t>1000000076</t>
  </si>
  <si>
    <t xml:space="preserve">26129,26427,26944,352622,353842, </t>
  </si>
  <si>
    <t>3.5</t>
  </si>
  <si>
    <t>2230745</t>
  </si>
  <si>
    <t>FY27_SS5_Belvita_$2.5</t>
  </si>
  <si>
    <t>BELVITA BLUEBERRY 25CT</t>
  </si>
  <si>
    <t>1000000126</t>
  </si>
  <si>
    <t xml:space="preserve">57166,57219, </t>
  </si>
  <si>
    <t>2230685</t>
  </si>
  <si>
    <t>FY27_FOC27_Steak Umm_$2</t>
  </si>
  <si>
    <t>STEAK UMM SHAVED STEAK, 36 OZ.</t>
  </si>
  <si>
    <t>1000000015</t>
  </si>
  <si>
    <t xml:space="preserve">348112, </t>
  </si>
  <si>
    <t>2230643</t>
  </si>
  <si>
    <t>1000000079</t>
  </si>
  <si>
    <t xml:space="preserve">290821,290822, </t>
  </si>
  <si>
    <t>2230747</t>
  </si>
  <si>
    <t>1000000127</t>
  </si>
  <si>
    <t xml:space="preserve">21139,41116, </t>
  </si>
  <si>
    <t>3.75</t>
  </si>
  <si>
    <t>2230738</t>
  </si>
  <si>
    <t>MOREYS HOT HONEY SALMON</t>
  </si>
  <si>
    <t>1000000120</t>
  </si>
  <si>
    <t xml:space="preserve">264198,324421,326274,326850,335295,338397,338917,340201,343619,343937,344073, </t>
  </si>
  <si>
    <t>2230631</t>
  </si>
  <si>
    <t>NISSIN CUP SHRIMP 24/2.25OZ</t>
  </si>
  <si>
    <t>1000000070</t>
  </si>
  <si>
    <t xml:space="preserve">142244,144712,144750, </t>
  </si>
  <si>
    <t>2.25</t>
  </si>
  <si>
    <t>2230655</t>
  </si>
  <si>
    <t>FY27_SS5_Nerds Rainbow_$2</t>
  </si>
  <si>
    <t>TROLLI SOUR BRITE CRAWLERS SUB 40OZ</t>
  </si>
  <si>
    <t>1000000089</t>
  </si>
  <si>
    <t xml:space="preserve">307519,325758,340878, </t>
  </si>
  <si>
    <t>2230658</t>
  </si>
  <si>
    <t>1000000091</t>
  </si>
  <si>
    <t xml:space="preserve">227423,265423, </t>
  </si>
  <si>
    <t>2230651</t>
  </si>
  <si>
    <t>MOTTS FRUIT SNACKS 90 CT</t>
  </si>
  <si>
    <t>1000000085</t>
  </si>
  <si>
    <t xml:space="preserve">221506,66002, </t>
  </si>
  <si>
    <t>2230690</t>
  </si>
  <si>
    <t>1000000019</t>
  </si>
  <si>
    <t xml:space="preserve">100738,25015,353434, </t>
  </si>
  <si>
    <t>2231244</t>
  </si>
  <si>
    <t>1000000134</t>
  </si>
  <si>
    <t xml:space="preserve">286104,286107,286108,286163,313275,339683,339684,347616,347692, </t>
  </si>
  <si>
    <t>2230733</t>
  </si>
  <si>
    <t>1000000116</t>
  </si>
  <si>
    <t xml:space="preserve">247230,294780, </t>
  </si>
  <si>
    <t>2230736</t>
  </si>
  <si>
    <t>BUBBA CHICKEN PATTIES</t>
  </si>
  <si>
    <t>1000000119</t>
  </si>
  <si>
    <t xml:space="preserve">24760,339365,9191,9192, </t>
  </si>
  <si>
    <t>2230638</t>
  </si>
  <si>
    <t>1000000075</t>
  </si>
  <si>
    <t xml:space="preserve">58427, </t>
  </si>
  <si>
    <t>2230726</t>
  </si>
  <si>
    <t>1000000114</t>
  </si>
  <si>
    <t xml:space="preserve">101080,24056,26911,319203, </t>
  </si>
  <si>
    <t>2231273</t>
  </si>
  <si>
    <t>GILLETTELABS RAZOR + 8 REFILLS &amp; STAND</t>
  </si>
  <si>
    <t>1000000148</t>
  </si>
  <si>
    <t xml:space="preserve">18384,242546,242548,322551,324400,337178,346631, </t>
  </si>
  <si>
    <t>2230652</t>
  </si>
  <si>
    <t>1000000086</t>
  </si>
  <si>
    <t xml:space="preserve">22686, </t>
  </si>
  <si>
    <t>2230667</t>
  </si>
  <si>
    <t>1000000097</t>
  </si>
  <si>
    <t xml:space="preserve">24131,24132,24133, </t>
  </si>
  <si>
    <t>2230692</t>
  </si>
  <si>
    <t>1000000198</t>
  </si>
  <si>
    <t xml:space="preserve">24260, </t>
  </si>
  <si>
    <t>2232017</t>
  </si>
  <si>
    <t>1000000176</t>
  </si>
  <si>
    <t xml:space="preserve">198696, </t>
  </si>
  <si>
    <t>2230741</t>
  </si>
  <si>
    <t>FY27_SS5_Eight O'Clock_$7</t>
  </si>
  <si>
    <t>EOC KCUP ORIGINAL 94CT</t>
  </si>
  <si>
    <t>1000000123</t>
  </si>
  <si>
    <t xml:space="preserve">347340, </t>
  </si>
  <si>
    <t>2230637</t>
  </si>
  <si>
    <t>1000000074</t>
  </si>
  <si>
    <t xml:space="preserve">50197, </t>
  </si>
  <si>
    <t>2230629</t>
  </si>
  <si>
    <t>1000000068</t>
  </si>
  <si>
    <t xml:space="preserve">242791, </t>
  </si>
  <si>
    <t>2230694</t>
  </si>
  <si>
    <t>OUI YOGURT PEACH /STRAW 8/5 OZ</t>
  </si>
  <si>
    <t>1000000105</t>
  </si>
  <si>
    <t xml:space="preserve">12474,207855,242484, </t>
  </si>
  <si>
    <t>2230716</t>
  </si>
  <si>
    <t>1000000111</t>
  </si>
  <si>
    <t xml:space="preserve">16162,300403,311300, </t>
  </si>
  <si>
    <t>2231294</t>
  </si>
  <si>
    <t>FY27_SS5_NaturesBountyMagnesium_$5</t>
  </si>
  <si>
    <t>NB MAGNESIUM GLYCINATE 240MG 180CT</t>
  </si>
  <si>
    <t>1000000164</t>
  </si>
  <si>
    <t xml:space="preserve">320685,321350,329488, </t>
  </si>
  <si>
    <t>2230699</t>
  </si>
  <si>
    <t>SILK ALMOND ORIG 2/64</t>
  </si>
  <si>
    <t>1000000106</t>
  </si>
  <si>
    <t xml:space="preserve">32970,90841,91303,91510, </t>
  </si>
  <si>
    <t>2235020</t>
  </si>
  <si>
    <t>1000000001</t>
  </si>
  <si>
    <t xml:space="preserve">15925, </t>
  </si>
  <si>
    <t>2230660</t>
  </si>
  <si>
    <t>1000000093</t>
  </si>
  <si>
    <t xml:space="preserve">218021,30747,315798,326640,340219,54212, </t>
  </si>
  <si>
    <t>2230723</t>
  </si>
  <si>
    <t>1000000030</t>
  </si>
  <si>
    <t xml:space="preserve">112132,227027,261625,346301, </t>
  </si>
  <si>
    <t>2231277</t>
  </si>
  <si>
    <t>1000000150</t>
  </si>
  <si>
    <t xml:space="preserve">168234,48196, </t>
  </si>
  <si>
    <t>2231374</t>
  </si>
  <si>
    <t>1000000047</t>
  </si>
  <si>
    <t xml:space="preserve">15695, </t>
  </si>
  <si>
    <t>1.75</t>
  </si>
  <si>
    <t>2230744</t>
  </si>
  <si>
    <t>1000000125</t>
  </si>
  <si>
    <t xml:space="preserve">226482,304121, </t>
  </si>
  <si>
    <t>2230679</t>
  </si>
  <si>
    <t>1000000011</t>
  </si>
  <si>
    <t xml:space="preserve">18468,321151,95242, </t>
  </si>
  <si>
    <t>2230647</t>
  </si>
  <si>
    <t>1000000083</t>
  </si>
  <si>
    <t xml:space="preserve">2771, </t>
  </si>
  <si>
    <t>2230620</t>
  </si>
  <si>
    <t>1000000062</t>
  </si>
  <si>
    <t xml:space="preserve">93647, </t>
  </si>
  <si>
    <t>2231371</t>
  </si>
  <si>
    <t>FY27_FOC5_WelchGrape_$1</t>
  </si>
  <si>
    <t>WELCH'S 2/30OZ GRAPE JELLY</t>
  </si>
  <si>
    <t>1000000044</t>
  </si>
  <si>
    <t xml:space="preserve">12249, </t>
  </si>
  <si>
    <t>2230628</t>
  </si>
  <si>
    <t>1000000067</t>
  </si>
  <si>
    <t xml:space="preserve">236790,236793,338755,339746,345732, </t>
  </si>
  <si>
    <t>2230937</t>
  </si>
  <si>
    <t>1000000132</t>
  </si>
  <si>
    <t xml:space="preserve">336635,336636, </t>
  </si>
  <si>
    <t>2234334</t>
  </si>
  <si>
    <t>1000000180</t>
  </si>
  <si>
    <t xml:space="preserve">86878,86879, </t>
  </si>
  <si>
    <t>2230645</t>
  </si>
  <si>
    <t>1000000081</t>
  </si>
  <si>
    <t xml:space="preserve">19378, </t>
  </si>
  <si>
    <t>2230642</t>
  </si>
  <si>
    <t>1000000078</t>
  </si>
  <si>
    <t xml:space="preserve">28178,383457, </t>
  </si>
  <si>
    <t>2235259</t>
  </si>
  <si>
    <t>FY27_SS5_Kool AidCountry Time _1.50</t>
  </si>
  <si>
    <t>TANG 72OZ/22QT DRINK MIX</t>
  </si>
  <si>
    <t>1000000201</t>
  </si>
  <si>
    <t xml:space="preserve">11674,11675,11676,24682, </t>
  </si>
  <si>
    <t>2237609</t>
  </si>
  <si>
    <t>1000000205</t>
  </si>
  <si>
    <t xml:space="preserve">671849, </t>
  </si>
  <si>
    <t>2230626</t>
  </si>
  <si>
    <t>1000000065</t>
  </si>
  <si>
    <t xml:space="preserve">17218,330655, </t>
  </si>
  <si>
    <t>2231264</t>
  </si>
  <si>
    <t>TIDE PODS SPRING MEADOW 168CT</t>
  </si>
  <si>
    <t>1000000141</t>
  </si>
  <si>
    <t xml:space="preserve">310609,325553,351593,352318, </t>
  </si>
  <si>
    <t>2231291</t>
  </si>
  <si>
    <t>FY27_SS5_ANYCLARITINORASTEPRO_$8</t>
  </si>
  <si>
    <t>CHILDREN'S CLARITIN GRAPE CHEWABLES 80CT</t>
  </si>
  <si>
    <t>1000000162</t>
  </si>
  <si>
    <t xml:space="preserve">243957,285998,286640,306185, </t>
  </si>
  <si>
    <t>2230686</t>
  </si>
  <si>
    <t>1000000016</t>
  </si>
  <si>
    <t xml:space="preserve">284980,300692, </t>
  </si>
  <si>
    <t>2231372</t>
  </si>
  <si>
    <t>FY27_FOC5_Sugar_2.25</t>
  </si>
  <si>
    <t>SUGAR IN THE RAW 6LB</t>
  </si>
  <si>
    <t>1000000045</t>
  </si>
  <si>
    <t xml:space="preserve">57217, </t>
  </si>
  <si>
    <t>2230693</t>
  </si>
  <si>
    <t>STONYFIELD SQUEEZERS 24 CT.</t>
  </si>
  <si>
    <t>1000000104</t>
  </si>
  <si>
    <t xml:space="preserve">226836,53753, </t>
  </si>
  <si>
    <t>2230729</t>
  </si>
  <si>
    <t>1000000034</t>
  </si>
  <si>
    <t xml:space="preserve">24007,984301, </t>
  </si>
  <si>
    <t>2231275</t>
  </si>
  <si>
    <t>FY27_FOC5_GladPressNSeal_$1.5</t>
  </si>
  <si>
    <t>GLAD PRESS N SEAL 2PK/280SF</t>
  </si>
  <si>
    <t>1000000040</t>
  </si>
  <si>
    <t xml:space="preserve">197157,633889, </t>
  </si>
  <si>
    <t>2230683</t>
  </si>
  <si>
    <t>FY27_FOC27_ Lily's Toaster_$2</t>
  </si>
  <si>
    <t>LILY'S TOASTER GRILLS, 8PK</t>
  </si>
  <si>
    <t>1000000013</t>
  </si>
  <si>
    <t xml:space="preserve">332883, </t>
  </si>
  <si>
    <t>2230724</t>
  </si>
  <si>
    <t>FY27_FOC5_Keepos Oliv_$1.50</t>
  </si>
  <si>
    <t>KEEPOS 12.3 OZ MEDITERN SALAD</t>
  </si>
  <si>
    <t>1000000031</t>
  </si>
  <si>
    <t xml:space="preserve">30502,30506, </t>
  </si>
  <si>
    <t>2230624</t>
  </si>
  <si>
    <t>FY27_SS5_LotusBiscoff_$1</t>
  </si>
  <si>
    <t>LOTUS BISCOFF 32 CT</t>
  </si>
  <si>
    <t>1000000183</t>
  </si>
  <si>
    <t xml:space="preserve">329436, </t>
  </si>
  <si>
    <t>2230933</t>
  </si>
  <si>
    <t>FY27_SS5_HuggiesDiapersLit_$5</t>
  </si>
  <si>
    <t>HUGGIES LITTLE MOVER DIAPER SZ 5 148CT</t>
  </si>
  <si>
    <t>1000000131</t>
  </si>
  <si>
    <t xml:space="preserve">336486,336489,336490,336491,336492,337376,337379,337401,337402,337600,337601,340497,340498,342171,342172,342192,342210,342211,342850, </t>
  </si>
  <si>
    <t>2231257</t>
  </si>
  <si>
    <t>1000000174</t>
  </si>
  <si>
    <t xml:space="preserve">340241, </t>
  </si>
  <si>
    <t>1.25</t>
  </si>
  <si>
    <t>2229459</t>
  </si>
  <si>
    <t>FY27_FOC5_Idahoan Buttery_$2</t>
  </si>
  <si>
    <t>IDAHOAN BUTTERY HMSTYLE CUPS 12PK/1.5OZ</t>
  </si>
  <si>
    <t>1000000002</t>
  </si>
  <si>
    <t xml:space="preserve">291442,338441,78402, </t>
  </si>
  <si>
    <t>2231280</t>
  </si>
  <si>
    <t>1000000153</t>
  </si>
  <si>
    <t xml:space="preserve">264530, </t>
  </si>
  <si>
    <t>2230742</t>
  </si>
  <si>
    <t>FY27_SS5_1EnsureOriginal_$6</t>
  </si>
  <si>
    <t>ENSURE 24/8OZ STRAWBERRY</t>
  </si>
  <si>
    <t>1000000124</t>
  </si>
  <si>
    <t xml:space="preserve">30678,869678,869686, </t>
  </si>
  <si>
    <t>2230684</t>
  </si>
  <si>
    <t>FY27_FOC27_Smart Harvest_$2</t>
  </si>
  <si>
    <t>SH CHOCOLATE COVERED  BLACKBERRY, 20 OZ.</t>
  </si>
  <si>
    <t>1000000014</t>
  </si>
  <si>
    <t xml:space="preserve">343933,343934,346303, </t>
  </si>
  <si>
    <t>2235266</t>
  </si>
  <si>
    <t>PORK PICNIC CRYOVAC    CP6</t>
  </si>
  <si>
    <t>1000000196</t>
  </si>
  <si>
    <t xml:space="preserve">981040,981083,988067,988132, </t>
  </si>
  <si>
    <t>2230740</t>
  </si>
  <si>
    <t>1000000122</t>
  </si>
  <si>
    <t xml:space="preserve">300522,308400, </t>
  </si>
  <si>
    <t>2231252</t>
  </si>
  <si>
    <t>1000000170</t>
  </si>
  <si>
    <t xml:space="preserve">297705,352046, </t>
  </si>
  <si>
    <t>2230673</t>
  </si>
  <si>
    <t>FY27_FOC5_Heluva Good_$1</t>
  </si>
  <si>
    <t>HELUVA   32 OZ FRNCH ONION DP</t>
  </si>
  <si>
    <t>1000000009</t>
  </si>
  <si>
    <t xml:space="preserve">24894,341967, </t>
  </si>
  <si>
    <t>2236853</t>
  </si>
  <si>
    <t>1000000202</t>
  </si>
  <si>
    <t xml:space="preserve">244799,265722,307432,339028,339310, </t>
  </si>
  <si>
    <t>2231267</t>
  </si>
  <si>
    <t>OPTI-FREE PUREMOIST 2X16OZ CLUB TRAY</t>
  </si>
  <si>
    <t>1000000144</t>
  </si>
  <si>
    <t xml:space="preserve">152658,340893,684723, </t>
  </si>
  <si>
    <t>2230730</t>
  </si>
  <si>
    <t>FY27_FOC5_Palmetto Pimento_$1</t>
  </si>
  <si>
    <t>PALMETTO ORIGINAL PIMENTO CHEESE 20 OZ.</t>
  </si>
  <si>
    <t>1000000035</t>
  </si>
  <si>
    <t xml:space="preserve">109503, </t>
  </si>
  <si>
    <t>2231246</t>
  </si>
  <si>
    <t>FY27_SS5_OlayFacialMoisturizer_$5</t>
  </si>
  <si>
    <t>OLAY VIT C + PEPTIDE MST 1.7 OZ-2 PACK</t>
  </si>
  <si>
    <t>1000000136</t>
  </si>
  <si>
    <t xml:space="preserve">233974,243814,282526,299967,322973,328706,335625,91036, </t>
  </si>
  <si>
    <t>2230932</t>
  </si>
  <si>
    <t>FY27_SS5_HuggiesWipes_$3</t>
  </si>
  <si>
    <t>HUGGIES NOURISH SCENT WIPE 640CT</t>
  </si>
  <si>
    <t>1000000130</t>
  </si>
  <si>
    <t xml:space="preserve">247895,251420,306690,326571, </t>
  </si>
  <si>
    <t>2235125</t>
  </si>
  <si>
    <t>FY27_SS5_WomensSecretDeo_$2</t>
  </si>
  <si>
    <t>SECRET DRY SPRAY DEO VARIETY 3PK/4.1OZ</t>
  </si>
  <si>
    <t>1000000191</t>
  </si>
  <si>
    <t xml:space="preserve">322971,323074,335620, </t>
  </si>
  <si>
    <t>2230712</t>
  </si>
  <si>
    <t>FY27_FOC5_ Fresh Energy_$2</t>
  </si>
  <si>
    <t>MEDJOOL DATES 12/2 LB</t>
  </si>
  <si>
    <t>1000000026</t>
  </si>
  <si>
    <t xml:space="preserve">20102, </t>
  </si>
  <si>
    <t>2230853</t>
  </si>
  <si>
    <t>FY27_FOC5_Bakerly Crepes_$1</t>
  </si>
  <si>
    <t>BAKERLY HAZELNUT CREPES 15CT</t>
  </si>
  <si>
    <t>1000000038</t>
  </si>
  <si>
    <t xml:space="preserve">336270, </t>
  </si>
  <si>
    <t>2230668</t>
  </si>
  <si>
    <t>FY27_SS5_Welch_$1.50</t>
  </si>
  <si>
    <t>WELCHS 24/10OZ VAR JCE DRINKS</t>
  </si>
  <si>
    <t>1000000098</t>
  </si>
  <si>
    <t xml:space="preserve">339363,356611, </t>
  </si>
  <si>
    <t>2230722</t>
  </si>
  <si>
    <t>FY27_FOC5_Gayo Azul_$2</t>
  </si>
  <si>
    <t>GAYO AZUL COTIJA 16OZ</t>
  </si>
  <si>
    <t>1000000029</t>
  </si>
  <si>
    <t xml:space="preserve">255748,322231,336528, </t>
  </si>
  <si>
    <t>2231373</t>
  </si>
  <si>
    <t>1000000046</t>
  </si>
  <si>
    <t xml:space="preserve">114185, </t>
  </si>
  <si>
    <t>2230734</t>
  </si>
  <si>
    <t>FY27_SS5_Smithfiled_$2</t>
  </si>
  <si>
    <t>SMITHFIELD 3LB BACON</t>
  </si>
  <si>
    <t>1000000117</t>
  </si>
  <si>
    <t xml:space="preserve">21681, </t>
  </si>
  <si>
    <t>2230641</t>
  </si>
  <si>
    <t>G SEASONS 10PK ITAL DRESS MIX</t>
  </si>
  <si>
    <t>1000000077</t>
  </si>
  <si>
    <t xml:space="preserve">13525,328156, </t>
  </si>
  <si>
    <t>2229351</t>
  </si>
  <si>
    <t>1000000190</t>
  </si>
  <si>
    <t xml:space="preserve">20883, </t>
  </si>
  <si>
    <t>2230656</t>
  </si>
  <si>
    <t>FY27_SS5_sunberry juice_$2</t>
  </si>
  <si>
    <t>SUNBERRY FARMS GUAVA NECTAR 2PK 128OZ</t>
  </si>
  <si>
    <t>1000000090</t>
  </si>
  <si>
    <t xml:space="preserve">264170,297853, </t>
  </si>
  <si>
    <t>2230630</t>
  </si>
  <si>
    <t>FY27_SS5_DintyMoore6/15ozo_$2</t>
  </si>
  <si>
    <t>6/15OZ DINTY MOORE BEEF STEW</t>
  </si>
  <si>
    <t>1000000069</t>
  </si>
  <si>
    <t xml:space="preserve">136296,264177, </t>
  </si>
  <si>
    <t>2230632</t>
  </si>
  <si>
    <t>1000000071</t>
  </si>
  <si>
    <t xml:space="preserve">88453, </t>
  </si>
  <si>
    <t>2230931</t>
  </si>
  <si>
    <t>GOODNITES BOYS NIGHTTIME SIZE XXL 40 CT</t>
  </si>
  <si>
    <t>1000000129</t>
  </si>
  <si>
    <t xml:space="preserve">122356,122360,226496,226610,264245,264246,264247,264248,306422,306423,341236,51945,51947,66078,66079,66098,66111, </t>
  </si>
  <si>
    <t>2230646</t>
  </si>
  <si>
    <t>FY27_SS5_PearlMillingPancak_$1.25</t>
  </si>
  <si>
    <t>PMC BUTTERMILK MIX 2/5LB</t>
  </si>
  <si>
    <t>1000000082</t>
  </si>
  <si>
    <t xml:space="preserve">314197, </t>
  </si>
  <si>
    <t>2231293</t>
  </si>
  <si>
    <t>FY27_SS5_BreatheRight_$4</t>
  </si>
  <si>
    <t>BREATHE RIGHT TAN 72 CT</t>
  </si>
  <si>
    <t>1000000163</t>
  </si>
  <si>
    <t xml:space="preserve">182612,182613, </t>
  </si>
  <si>
    <t>2230708</t>
  </si>
  <si>
    <t>FY27_FOC5_Sambazon_$3</t>
  </si>
  <si>
    <t>SAMBAZON DRAGON FRUIT 8/64OZ</t>
  </si>
  <si>
    <t>1000000025</t>
  </si>
  <si>
    <t xml:space="preserve">300721,316464,50550, </t>
  </si>
  <si>
    <t>2230622</t>
  </si>
  <si>
    <t>FY27_SS5_BiscaDanish_$1</t>
  </si>
  <si>
    <t>BISCA DANISH BUTTER COOKIE 48 OZ</t>
  </si>
  <si>
    <t>1000000064</t>
  </si>
  <si>
    <t xml:space="preserve">287131, </t>
  </si>
  <si>
    <t>2230687</t>
  </si>
  <si>
    <t>FY27_SS5_Farm Rich_$2</t>
  </si>
  <si>
    <t>FARM RICH CHEESY PICKLE BITES</t>
  </si>
  <si>
    <t>1000000103</t>
  </si>
  <si>
    <t xml:space="preserve">338506,338507,338751,346272, </t>
  </si>
  <si>
    <t>2231266</t>
  </si>
  <si>
    <t>ARIEL ULTRA OXI POWDER 5.8 KG/129 LOADS</t>
  </si>
  <si>
    <t>1000000143</t>
  </si>
  <si>
    <t xml:space="preserve">338463,338760,345544,348029, </t>
  </si>
  <si>
    <t>2231295</t>
  </si>
  <si>
    <t>FY27_SS5_PRILOSEC_$5</t>
  </si>
  <si>
    <t>PRILOSEC OTC, 20MG, 42 TABLETS</t>
  </si>
  <si>
    <t>1000000165</t>
  </si>
  <si>
    <t xml:space="preserve">348154,620698, </t>
  </si>
  <si>
    <t>2231249</t>
  </si>
  <si>
    <t>FY27_SS5_TresemeeHairCare_$2</t>
  </si>
  <si>
    <t>TRES HEAT TAMER SPRAY 2PK/8OZ</t>
  </si>
  <si>
    <t>1000000138</t>
  </si>
  <si>
    <t xml:space="preserve">323495,338978,339859,343396,38426, </t>
  </si>
  <si>
    <t>2230735</t>
  </si>
  <si>
    <t>KERRYGOLD DUBLINER CHEESE 1.32 LBS</t>
  </si>
  <si>
    <t>1000000118</t>
  </si>
  <si>
    <t xml:space="preserve">29239,29523, </t>
  </si>
  <si>
    <t>2231269</t>
  </si>
  <si>
    <t>1000000146</t>
  </si>
  <si>
    <t xml:space="preserve">324006,330270, </t>
  </si>
  <si>
    <t>2230701</t>
  </si>
  <si>
    <t>1000000108</t>
  </si>
  <si>
    <t xml:space="preserve">325916,329700, </t>
  </si>
  <si>
    <t>2230664</t>
  </si>
  <si>
    <t>1000000095</t>
  </si>
  <si>
    <t xml:space="preserve">52430, </t>
  </si>
  <si>
    <t>2231286</t>
  </si>
  <si>
    <t>1000000158</t>
  </si>
  <si>
    <t xml:space="preserve">308854, </t>
  </si>
  <si>
    <t>2230636</t>
  </si>
  <si>
    <t>1000000073</t>
  </si>
  <si>
    <t xml:space="preserve">315956, </t>
  </si>
  <si>
    <t>1.65</t>
  </si>
  <si>
    <t>2231251</t>
  </si>
  <si>
    <t>1000000169</t>
  </si>
  <si>
    <t xml:space="preserve">304419, </t>
  </si>
  <si>
    <t>2230720</t>
  </si>
  <si>
    <t>1000000028</t>
  </si>
  <si>
    <t xml:space="preserve">32377, </t>
  </si>
  <si>
    <t>2230665</t>
  </si>
  <si>
    <t>1000000096</t>
  </si>
  <si>
    <t xml:space="preserve">32115, </t>
  </si>
  <si>
    <t>2230633</t>
  </si>
  <si>
    <t>1000000072</t>
  </si>
  <si>
    <t xml:space="preserve">21341,339752, </t>
  </si>
  <si>
    <t>2230688</t>
  </si>
  <si>
    <t>FY27_FOC5_GalbaniWhol55_$1.5</t>
  </si>
  <si>
    <t>GALBANI 2/2LB WMLK MOZZ SHR</t>
  </si>
  <si>
    <t>1000000017</t>
  </si>
  <si>
    <t xml:space="preserve">25014, </t>
  </si>
  <si>
    <t>2230671</t>
  </si>
  <si>
    <t>1000000099</t>
  </si>
  <si>
    <t xml:space="preserve">275517,275945,329461,350815, </t>
  </si>
  <si>
    <t>2231270</t>
  </si>
  <si>
    <t>FY27_SS5_GilletteVenusSystem_$5</t>
  </si>
  <si>
    <t>VENUS PLATINUM HANDLE 11 CARTS</t>
  </si>
  <si>
    <t>1000000147</t>
  </si>
  <si>
    <t xml:space="preserve">256845,319726,339391, </t>
  </si>
  <si>
    <t>2231256</t>
  </si>
  <si>
    <t>1000000173</t>
  </si>
  <si>
    <t xml:space="preserve">227942, </t>
  </si>
  <si>
    <t>2230739</t>
  </si>
  <si>
    <t>1000000121</t>
  </si>
  <si>
    <t xml:space="preserve">101106,253562, </t>
  </si>
  <si>
    <t>2230648</t>
  </si>
  <si>
    <t>FY27_SS5_TostitosMediumSals_$1.5</t>
  </si>
  <si>
    <t>TOSTITOS CHUNKY MEDIUM SALSA 2PK</t>
  </si>
  <si>
    <t>1000000084</t>
  </si>
  <si>
    <t xml:space="preserve">340894, </t>
  </si>
  <si>
    <t>2230728</t>
  </si>
  <si>
    <t>FY27_FOC5_ Jarlsberg Cheese_$2</t>
  </si>
  <si>
    <t>JARLSBERG WEDGE IC LB</t>
  </si>
  <si>
    <t>1000000033</t>
  </si>
  <si>
    <t xml:space="preserve">984279, </t>
  </si>
  <si>
    <t>2231285</t>
  </si>
  <si>
    <t>FRESH STEP HEAVY DUTY 42LB</t>
  </si>
  <si>
    <t>1000000041</t>
  </si>
  <si>
    <t xml:space="preserve">188103,320860,351851,351852, </t>
  </si>
  <si>
    <t>2235127</t>
  </si>
  <si>
    <t>BANANA BOAT SPORT SPF50 LOTION 8OZ 2PK</t>
  </si>
  <si>
    <t>1000000192</t>
  </si>
  <si>
    <t xml:space="preserve">337901,337905,338092,350055, </t>
  </si>
  <si>
    <t>2231248</t>
  </si>
  <si>
    <t>FY27_SS5_NexxusHair_$5</t>
  </si>
  <si>
    <t>NEXXUS ULTRA LIGHT SH/CD 2/33.8OZ</t>
  </si>
  <si>
    <t>1000000137</t>
  </si>
  <si>
    <t xml:space="preserve">297198,297199,297211,319944,324550,328776,332966,351258,351259,351662,673577, </t>
  </si>
  <si>
    <t>2230635</t>
  </si>
  <si>
    <t>FY27_FOC5_SeedsChange_$3</t>
  </si>
  <si>
    <t>SOC QUINOA&amp;BRWN RICE</t>
  </si>
  <si>
    <t>1000000006</t>
  </si>
  <si>
    <t xml:space="preserve">54048, </t>
  </si>
  <si>
    <t>2230681</t>
  </si>
  <si>
    <t>1000000012</t>
  </si>
  <si>
    <t xml:space="preserve">306374, </t>
  </si>
  <si>
    <t>2231272</t>
  </si>
  <si>
    <t>1000000039</t>
  </si>
  <si>
    <t xml:space="preserve">216219, </t>
  </si>
  <si>
    <t>2230644</t>
  </si>
  <si>
    <t>1000000080</t>
  </si>
  <si>
    <t xml:space="preserve">31391, </t>
  </si>
  <si>
    <t>2229480</t>
  </si>
  <si>
    <t>1000000003</t>
  </si>
  <si>
    <t xml:space="preserve">87465, </t>
  </si>
  <si>
    <t>2231847</t>
  </si>
  <si>
    <t>FY27_FOC5_Vita Seafood Product_$1.50</t>
  </si>
  <si>
    <t>VITA SMOKED STEELHEAD TROUT</t>
  </si>
  <si>
    <t>1000000048</t>
  </si>
  <si>
    <t xml:space="preserve">198366,211447,347566, </t>
  </si>
  <si>
    <t>2231268</t>
  </si>
  <si>
    <t>FY27_SS5_BiotrueLensSolution_$5</t>
  </si>
  <si>
    <t>2X16 FL OZ BIOTRUE HYDRATION PLUS MPS</t>
  </si>
  <si>
    <t>1000000145</t>
  </si>
  <si>
    <t xml:space="preserve">331092,702247, </t>
  </si>
  <si>
    <t>2235021</t>
  </si>
  <si>
    <t>FY27_SS5_Persil_$3</t>
  </si>
  <si>
    <t>PERSIL ORIGINAL, 201.6OZ</t>
  </si>
  <si>
    <t>1000000187</t>
  </si>
  <si>
    <t xml:space="preserve">340249, </t>
  </si>
  <si>
    <t>2230672</t>
  </si>
  <si>
    <t>FY27_FOC5_Go Snack_$1</t>
  </si>
  <si>
    <t>GO SNACK CHICKEN TOPPERS</t>
  </si>
  <si>
    <t>1000000008</t>
  </si>
  <si>
    <t xml:space="preserve">328664, </t>
  </si>
  <si>
    <t>2230634</t>
  </si>
  <si>
    <t>FY27_FOC5_Goya_$2.50</t>
  </si>
  <si>
    <t>GOYA 6/13.5 OZ COCONUT MILK</t>
  </si>
  <si>
    <t>1000000005</t>
  </si>
  <si>
    <t xml:space="preserve">338320, </t>
  </si>
  <si>
    <t>2230594</t>
  </si>
  <si>
    <t>FY27_SS5_TownHouse_$1.50</t>
  </si>
  <si>
    <t>TOWNHOUSE PITA VARIETY PACK - 3CT</t>
  </si>
  <si>
    <t>1000000057</t>
  </si>
  <si>
    <t xml:space="preserve">337731, </t>
  </si>
  <si>
    <t>2230710</t>
  </si>
  <si>
    <t>FY27_SS5_Health-Ade_$2.50</t>
  </si>
  <si>
    <t>HEALTH-ADE PINK LADY APPLE 6/16OZ</t>
  </si>
  <si>
    <t>1000000109</t>
  </si>
  <si>
    <t xml:space="preserve">305154,321220,321221,334933, </t>
  </si>
  <si>
    <t>2235265</t>
  </si>
  <si>
    <t>1000000195</t>
  </si>
  <si>
    <t xml:space="preserve">981018,989801, </t>
  </si>
  <si>
    <t>2231292</t>
  </si>
  <si>
    <t>FY27_FOC5_Voltaren_$7</t>
  </si>
  <si>
    <t>VOLTAREN TOPICAL GEL 350G</t>
  </si>
  <si>
    <t>1000000042</t>
  </si>
  <si>
    <t xml:space="preserve">325377, </t>
  </si>
  <si>
    <t>2231980</t>
  </si>
  <si>
    <t>FY27_FOC5_MARZETTI SALAD_$1.50</t>
  </si>
  <si>
    <t>MARZETTI SMPLY LEMON VIN DRESS 6/24 OZ</t>
  </si>
  <si>
    <t>1000000049</t>
  </si>
  <si>
    <t xml:space="preserve">326030,326031,326032,326033, </t>
  </si>
  <si>
    <t>2231278</t>
  </si>
  <si>
    <t>FY27_SS5_HeftySliderbags_$3.5</t>
  </si>
  <si>
    <t>HEFTY SLIDER GALLON 136CT</t>
  </si>
  <si>
    <t>1000000151</t>
  </si>
  <si>
    <t xml:space="preserve">346635, </t>
  </si>
  <si>
    <t>2231299</t>
  </si>
  <si>
    <t>FY27_FOC5_ESTROVENMENOPAUSE_$4</t>
  </si>
  <si>
    <t>ESTROVEN COMPLETE MENOPAUSE RELIEF 84CT</t>
  </si>
  <si>
    <t>1000000043</t>
  </si>
  <si>
    <t xml:space="preserve">265386, </t>
  </si>
  <si>
    <t>2234725</t>
  </si>
  <si>
    <t>1000000184</t>
  </si>
  <si>
    <t xml:space="preserve">337479, </t>
  </si>
  <si>
    <t>2235267</t>
  </si>
  <si>
    <t>FY27_SS5_WholeBoneless_$20</t>
  </si>
  <si>
    <t>PEELED 5-UP TNDERLOIN CP12</t>
  </si>
  <si>
    <t>1000000197</t>
  </si>
  <si>
    <t xml:space="preserve">980103,980210, </t>
  </si>
  <si>
    <t>20</t>
  </si>
  <si>
    <t>2230659</t>
  </si>
  <si>
    <t>FY27_SS5_ASPIRE VARIETY_$2</t>
  </si>
  <si>
    <t>ASPIRE VARIETY ENERGY DRINK 15PK 12OZ</t>
  </si>
  <si>
    <t>1000000092</t>
  </si>
  <si>
    <t xml:space="preserve">297850, </t>
  </si>
  <si>
    <t>2230938</t>
  </si>
  <si>
    <t>FY27_SS5_1DiaperGenieCle_$5</t>
  </si>
  <si>
    <t>DIAPER GENIE MAX FRESH 4 PACK REFILLS</t>
  </si>
  <si>
    <t>1000000133</t>
  </si>
  <si>
    <t xml:space="preserve">218939, </t>
  </si>
  <si>
    <t>2230697</t>
  </si>
  <si>
    <t>FY27_FOC5_LifeWAY_$1.50</t>
  </si>
  <si>
    <t>LIFEWAY KEFIR PRTN DRNK VTY 12/8OZ</t>
  </si>
  <si>
    <t>1000000022</t>
  </si>
  <si>
    <t xml:space="preserve">342154, </t>
  </si>
  <si>
    <t>2230674</t>
  </si>
  <si>
    <t>FY27_SS5_Hormel Square_$3</t>
  </si>
  <si>
    <t>SQUARE TABLE TURKEY W/ GRAVY 24OZ</t>
  </si>
  <si>
    <t>1000000100</t>
  </si>
  <si>
    <t xml:space="preserve">342671,343433, </t>
  </si>
  <si>
    <t>2230727</t>
  </si>
  <si>
    <t>1000000032</t>
  </si>
  <si>
    <t xml:space="preserve">332971, </t>
  </si>
  <si>
    <t>2231298</t>
  </si>
  <si>
    <t>FY27_SS5_NEURIVA_$7</t>
  </si>
  <si>
    <t>NEURIVA BRAIN SUPPORT 45CT</t>
  </si>
  <si>
    <t>1000000168</t>
  </si>
  <si>
    <t xml:space="preserve">227666,326197, </t>
  </si>
  <si>
    <t>2234667</t>
  </si>
  <si>
    <t>FY27_FOC5_LumifyRednessRelief_$5</t>
  </si>
  <si>
    <t>LUMIFY REDNESS RELIEVER 2X7.5ML</t>
  </si>
  <si>
    <t>1000000050</t>
  </si>
  <si>
    <t xml:space="preserve">233606, </t>
  </si>
  <si>
    <t>2230675</t>
  </si>
  <si>
    <t>FY27_FOC5_Soules Kitchen_$2</t>
  </si>
  <si>
    <t>SOULES KITCHEN FAJITA CHICKEN 2PK/14OZ</t>
  </si>
  <si>
    <t>1000000010</t>
  </si>
  <si>
    <t xml:space="preserve">342818, </t>
  </si>
  <si>
    <t>2231287</t>
  </si>
  <si>
    <t>PEDIGREE WET DOG FOOD CAN 36 CT</t>
  </si>
  <si>
    <t>1000000159</t>
  </si>
  <si>
    <t xml:space="preserve">313831,322173, </t>
  </si>
  <si>
    <t>2230731</t>
  </si>
  <si>
    <t>FY27_FOC5_Kaltbach Gruyere _$2</t>
  </si>
  <si>
    <t>KALTBACH CAVE AGED GRUYERE 12MONTH, 14OZ</t>
  </si>
  <si>
    <t>1000000036</t>
  </si>
  <si>
    <t xml:space="preserve">313744, </t>
  </si>
  <si>
    <t>2230663</t>
  </si>
  <si>
    <t>FY27_SS5_La Colombe_$2</t>
  </si>
  <si>
    <t>LA COLOMBE DRAFT LATTE VARIETY 12PK</t>
  </si>
  <si>
    <t>1000000094</t>
  </si>
  <si>
    <t xml:space="preserve">322426, </t>
  </si>
  <si>
    <t>2230435</t>
  </si>
  <si>
    <t>FY27_SS5_WELLSLEYFARMSCHOC_$3</t>
  </si>
  <si>
    <t>WF CHOCOLATE PROTEIN SHAKE 18PK/11OZ</t>
  </si>
  <si>
    <t>1000000056</t>
  </si>
  <si>
    <t xml:space="preserve">338454, </t>
  </si>
  <si>
    <t>2230657</t>
  </si>
  <si>
    <t>FY27_FOC5_EnergyDrink_$4</t>
  </si>
  <si>
    <t>C4 ENERGY DRINK VAREITY 18PK/16OZ</t>
  </si>
  <si>
    <t>1000000007</t>
  </si>
  <si>
    <t xml:space="preserve">267253, </t>
  </si>
  <si>
    <t>2229406</t>
  </si>
  <si>
    <t>FY27_SS5_Bodyarmor_$7</t>
  </si>
  <si>
    <t>BODYARMOR FLASH I.V. VARIETY STICKS 24PK</t>
  </si>
  <si>
    <t>1000000054</t>
  </si>
  <si>
    <t xml:space="preserve">322491,351421, </t>
  </si>
  <si>
    <t>2231296</t>
  </si>
  <si>
    <t>FY27_SS5_Flonase_$10</t>
  </si>
  <si>
    <t>FLONASE ALLERGY NASAL SPRAY 3X144DS</t>
  </si>
  <si>
    <t>1000000166</t>
  </si>
  <si>
    <t xml:space="preserve">340261, </t>
  </si>
  <si>
    <t>2230689</t>
  </si>
  <si>
    <t>1000000018</t>
  </si>
  <si>
    <t xml:space="preserve">325241, </t>
  </si>
  <si>
    <t>2234237</t>
  </si>
  <si>
    <t>FY27_SS5_DUDEWIPES_$3.50</t>
  </si>
  <si>
    <t>DUDE WIPES 384CT</t>
  </si>
  <si>
    <t>1000000179</t>
  </si>
  <si>
    <t xml:space="preserve">342170, </t>
  </si>
  <si>
    <t>2235252</t>
  </si>
  <si>
    <t>FY27_SS5_AlwaysDiscreet_$6</t>
  </si>
  <si>
    <t>ALWAYS INFINITY SIZE 4 PAD 64CT</t>
  </si>
  <si>
    <t>1000000193</t>
  </si>
  <si>
    <t xml:space="preserve">315901, </t>
  </si>
  <si>
    <t>2231288</t>
  </si>
  <si>
    <t>FY27_SS5_BeefeatersLickablesCat_$2</t>
  </si>
  <si>
    <t>BEEFEATERS LICKABLES VARITEY PACK 48CT</t>
  </si>
  <si>
    <t>1000000160</t>
  </si>
  <si>
    <t xml:space="preserve">307112, </t>
  </si>
  <si>
    <t>2231289</t>
  </si>
  <si>
    <t>FY27_SS5_SerestoFlea&amp;TickCollar_$6</t>
  </si>
  <si>
    <t>SERESTO COLLAR SMALL DOG 8 MONTH</t>
  </si>
  <si>
    <t>1000000161</t>
  </si>
  <si>
    <t xml:space="preserve">243404,243405,243406, </t>
  </si>
  <si>
    <t>2234585</t>
  </si>
  <si>
    <t>FY27_SS5_Better Than Bouillon Chicken_$2</t>
  </si>
  <si>
    <t>BETTER THAN BOUILLON RSTDCHCKN BASE 16OZ</t>
  </si>
  <si>
    <t>1000000185</t>
  </si>
  <si>
    <t xml:space="preserve">350981, </t>
  </si>
  <si>
    <t>2229711</t>
  </si>
  <si>
    <t>FY27_SS5_Simply Protein Dipped Bars_$3</t>
  </si>
  <si>
    <t>SIMPLY PRO DIPPED BARS VARIETY PACK 24CT</t>
  </si>
  <si>
    <t>1000000186</t>
  </si>
  <si>
    <t xml:space="preserve">350903, </t>
  </si>
  <si>
    <t>ARTICLE_NBR</t>
  </si>
  <si>
    <t>ARTICLE_DESC</t>
  </si>
  <si>
    <t>AH4_CD</t>
  </si>
  <si>
    <t>AH4_DESC</t>
  </si>
  <si>
    <t>AH5_CD</t>
  </si>
  <si>
    <t>AH5_DESC</t>
  </si>
  <si>
    <t>INCLUDE_OR_EXCLUDE</t>
  </si>
  <si>
    <t>EXCLUSION_TYPE</t>
  </si>
  <si>
    <t>EXCLUSION_SUBTYPE</t>
  </si>
  <si>
    <t>38326</t>
  </si>
  <si>
    <t>NATURE MADE B12 1000MCG</t>
  </si>
  <si>
    <t>302050146</t>
  </si>
  <si>
    <t>VITAMINS</t>
  </si>
  <si>
    <t>911287</t>
  </si>
  <si>
    <t>LETTERED VITAMINS</t>
  </si>
  <si>
    <t>311112</t>
  </si>
  <si>
    <t>BJ FULL STEAM TABLE 15CT</t>
  </si>
  <si>
    <t>301010121</t>
  </si>
  <si>
    <t>FOOD STORAGE/FOIL/WRAPS</t>
  </si>
  <si>
    <t>910361</t>
  </si>
  <si>
    <t>FOIL</t>
  </si>
  <si>
    <t>91510</t>
  </si>
  <si>
    <t>201020056</t>
  </si>
  <si>
    <t>MILK</t>
  </si>
  <si>
    <t>910169</t>
  </si>
  <si>
    <t>ALTERNATIVE MILK</t>
  </si>
  <si>
    <t>311116</t>
  </si>
  <si>
    <t>335398</t>
  </si>
  <si>
    <t>402010178</t>
  </si>
  <si>
    <t>CONSUMER BATTERIES</t>
  </si>
  <si>
    <t>910545</t>
  </si>
  <si>
    <t>ALKALINE BATTERIES</t>
  </si>
  <si>
    <t>311300</t>
  </si>
  <si>
    <t>201060072</t>
  </si>
  <si>
    <t>FRESH FRUITS</t>
  </si>
  <si>
    <t>910236</t>
  </si>
  <si>
    <t>APPLES</t>
  </si>
  <si>
    <t>320685</t>
  </si>
  <si>
    <t>NB COQ10 200MG RR SOFTGLS 200CT</t>
  </si>
  <si>
    <t>911285</t>
  </si>
  <si>
    <t>HEART HEALTH</t>
  </si>
  <si>
    <t>91303</t>
  </si>
  <si>
    <t>322551</t>
  </si>
  <si>
    <t>302040144</t>
  </si>
  <si>
    <t>SHAVING</t>
  </si>
  <si>
    <t>910450</t>
  </si>
  <si>
    <t>RAZORS</t>
  </si>
  <si>
    <t>11674</t>
  </si>
  <si>
    <t>KOOL-AID 34 QT TRP PNCH</t>
  </si>
  <si>
    <t>101020016</t>
  </si>
  <si>
    <t>SPECIALTY BEVERAGES</t>
  </si>
  <si>
    <t>910829</t>
  </si>
  <si>
    <t>DRINK MIXES</t>
  </si>
  <si>
    <t>326850</t>
  </si>
  <si>
    <t>202040118</t>
  </si>
  <si>
    <t>FROZEN FIN FISH</t>
  </si>
  <si>
    <t>910355</t>
  </si>
  <si>
    <t>217523</t>
  </si>
  <si>
    <t>301010123</t>
  </si>
  <si>
    <t>BASIC TABLEWARE</t>
  </si>
  <si>
    <t>910868</t>
  </si>
  <si>
    <t>PLATES</t>
  </si>
  <si>
    <t>328776</t>
  </si>
  <si>
    <t>NEXXUS UNBREAKABLE SH/CD 2/32OZ</t>
  </si>
  <si>
    <t>302020137</t>
  </si>
  <si>
    <t>HAIR CARE</t>
  </si>
  <si>
    <t>910776</t>
  </si>
  <si>
    <t>SHAMPOO/CONDITIONER</t>
  </si>
  <si>
    <t>339859</t>
  </si>
  <si>
    <t>910431</t>
  </si>
  <si>
    <t>STYLE AIDS</t>
  </si>
  <si>
    <t>26729</t>
  </si>
  <si>
    <t>202030107</t>
  </si>
  <si>
    <t>FROZEN MEALS</t>
  </si>
  <si>
    <t>910339</t>
  </si>
  <si>
    <t>FROZEN ENTREES</t>
  </si>
  <si>
    <t>291442</t>
  </si>
  <si>
    <t>102020040</t>
  </si>
  <si>
    <t>PACKAGED SIDES &amp; ENTREES</t>
  </si>
  <si>
    <t>910121</t>
  </si>
  <si>
    <t>INSTANT POTATOES</t>
  </si>
  <si>
    <t>342850</t>
  </si>
  <si>
    <t>HUGGIES LITTLE MOVERS DIAPER S8, 88CT</t>
  </si>
  <si>
    <t>302030141</t>
  </si>
  <si>
    <t>DIAPERS &amp; WIPES</t>
  </si>
  <si>
    <t>910439</t>
  </si>
  <si>
    <t>DIAPERS</t>
  </si>
  <si>
    <t>326571</t>
  </si>
  <si>
    <t>HUGGIES SIMPLY CLEAN WIPE 1152CT</t>
  </si>
  <si>
    <t>910441</t>
  </si>
  <si>
    <t>WIPES</t>
  </si>
  <si>
    <t>253562</t>
  </si>
  <si>
    <t>102020042</t>
  </si>
  <si>
    <t>ACTIVE NUTRITION</t>
  </si>
  <si>
    <t>910855</t>
  </si>
  <si>
    <t>BARS</t>
  </si>
  <si>
    <t>9192</t>
  </si>
  <si>
    <t>BUBBA 12/5.3OZ ORIGINAL BRGR</t>
  </si>
  <si>
    <t>202040114</t>
  </si>
  <si>
    <t>FROZEN PATTIES</t>
  </si>
  <si>
    <t>910348</t>
  </si>
  <si>
    <t>FROZEN BEEF</t>
  </si>
  <si>
    <t>340249</t>
  </si>
  <si>
    <t>301020128</t>
  </si>
  <si>
    <t>LAUNDRY</t>
  </si>
  <si>
    <t>911275</t>
  </si>
  <si>
    <t>LIQUID DETERGENTS</t>
  </si>
  <si>
    <t>175674</t>
  </si>
  <si>
    <t>102020041</t>
  </si>
  <si>
    <t>SALTY SNACKS</t>
  </si>
  <si>
    <t>911327</t>
  </si>
  <si>
    <t>SALTY SNACKS BIG BAG</t>
  </si>
  <si>
    <t>348112</t>
  </si>
  <si>
    <t>202040116</t>
  </si>
  <si>
    <t>FROZEN PROTEIN</t>
  </si>
  <si>
    <t>910357</t>
  </si>
  <si>
    <t>FROZEN MEAL SOLUTION</t>
  </si>
  <si>
    <t>275185001</t>
  </si>
  <si>
    <t>320770</t>
  </si>
  <si>
    <t>301010122</t>
  </si>
  <si>
    <t>PAPER</t>
  </si>
  <si>
    <t>910367</t>
  </si>
  <si>
    <t>FACIAL TISSUE</t>
  </si>
  <si>
    <t>342170</t>
  </si>
  <si>
    <t>911182</t>
  </si>
  <si>
    <t>FLUSHABLE WIPES</t>
  </si>
  <si>
    <t>339135</t>
  </si>
  <si>
    <t>910366</t>
  </si>
  <si>
    <t>PAPER TOWELS</t>
  </si>
  <si>
    <t>347339</t>
  </si>
  <si>
    <t>102020036</t>
  </si>
  <si>
    <t>COFFEE TEA &amp; COCOA</t>
  </si>
  <si>
    <t>910103</t>
  </si>
  <si>
    <t>COFFEE</t>
  </si>
  <si>
    <t>315956</t>
  </si>
  <si>
    <t>102010020</t>
  </si>
  <si>
    <t>SPREADS</t>
  </si>
  <si>
    <t>910056</t>
  </si>
  <si>
    <t>NUT BUTTERS</t>
  </si>
  <si>
    <t>326030</t>
  </si>
  <si>
    <t>MARZETTI SIMPLY BALSAMIC VIN 6/24OZ</t>
  </si>
  <si>
    <t>201060075</t>
  </si>
  <si>
    <t>OTHER FRESH PRODUCE</t>
  </si>
  <si>
    <t>910878</t>
  </si>
  <si>
    <t>DIPS/DRESSINGS</t>
  </si>
  <si>
    <t>988132</t>
  </si>
  <si>
    <t>PORK SHOULDER BOSTON BUTT (MA)</t>
  </si>
  <si>
    <t>201050067</t>
  </si>
  <si>
    <t>FRESH PORK</t>
  </si>
  <si>
    <t>911369</t>
  </si>
  <si>
    <t>BUTT</t>
  </si>
  <si>
    <t>257051</t>
  </si>
  <si>
    <t>201080328</t>
  </si>
  <si>
    <t>HOT DOGS/SAUSAGE</t>
  </si>
  <si>
    <t>910281</t>
  </si>
  <si>
    <t>HOT DOGS</t>
  </si>
  <si>
    <t>351662</t>
  </si>
  <si>
    <t>NEXXUS COLOR ASSURE SH&amp;CD(2) 32OZ</t>
  </si>
  <si>
    <t>324420</t>
  </si>
  <si>
    <t>NATURE MADE BIOTIN 5000MCG</t>
  </si>
  <si>
    <t>911289</t>
  </si>
  <si>
    <t>WOMENS HEALTH</t>
  </si>
  <si>
    <t>347340</t>
  </si>
  <si>
    <t>24007</t>
  </si>
  <si>
    <t>201020053</t>
  </si>
  <si>
    <t>SPECIALTY CHEESE</t>
  </si>
  <si>
    <t>910160</t>
  </si>
  <si>
    <t>HARD SPECIALTY CHEESE</t>
  </si>
  <si>
    <t>351259</t>
  </si>
  <si>
    <t>NEXXUS HUMECTRESS CD 43OZ</t>
  </si>
  <si>
    <t>336475</t>
  </si>
  <si>
    <t>911282</t>
  </si>
  <si>
    <t>NUTRITION</t>
  </si>
  <si>
    <t>339363</t>
  </si>
  <si>
    <t>WELCH'S ZERO SUGAR VARIETY 24PK/10OZ</t>
  </si>
  <si>
    <t>101020012</t>
  </si>
  <si>
    <t>JUICE</t>
  </si>
  <si>
    <t>911292</t>
  </si>
  <si>
    <t>SINGLE-SERVE JUICE CANS/BOTTLES</t>
  </si>
  <si>
    <t>93647</t>
  </si>
  <si>
    <t>102020037</t>
  </si>
  <si>
    <t>COOKIES &amp; CRACKERS</t>
  </si>
  <si>
    <t>911331</t>
  </si>
  <si>
    <t>CRACKER</t>
  </si>
  <si>
    <t>337916</t>
  </si>
  <si>
    <t>301010125</t>
  </si>
  <si>
    <t>TRASH</t>
  </si>
  <si>
    <t>910392</t>
  </si>
  <si>
    <t>TRASH BAGS</t>
  </si>
  <si>
    <t>38426</t>
  </si>
  <si>
    <t>TRES MST RICH SH/CD 2/40OZ</t>
  </si>
  <si>
    <t>226482</t>
  </si>
  <si>
    <t>102020031</t>
  </si>
  <si>
    <t>BREAKFAST</t>
  </si>
  <si>
    <t>910085</t>
  </si>
  <si>
    <t>CEREAL</t>
  </si>
  <si>
    <t>294223</t>
  </si>
  <si>
    <t>NM MELATONIN 5G TABLETS 220CT</t>
  </si>
  <si>
    <t>911288</t>
  </si>
  <si>
    <t>SLEEP AIDS</t>
  </si>
  <si>
    <t>329488</t>
  </si>
  <si>
    <t>NB BERBERINE 120CT CAPS</t>
  </si>
  <si>
    <t>911284</t>
  </si>
  <si>
    <t>DIET AIDS</t>
  </si>
  <si>
    <t>22686</t>
  </si>
  <si>
    <t>102020032</t>
  </si>
  <si>
    <t>CANDY</t>
  </si>
  <si>
    <t>910090</t>
  </si>
  <si>
    <t>SUGAR CANDY</t>
  </si>
  <si>
    <t>325758</t>
  </si>
  <si>
    <t>NERDS CLUSTERS VERY BERRY 32OZ SUB</t>
  </si>
  <si>
    <t>326938</t>
  </si>
  <si>
    <t>910888</t>
  </si>
  <si>
    <t>BATH TISSUE</t>
  </si>
  <si>
    <t>328505</t>
  </si>
  <si>
    <t>NM ADVANCED MULTI FOR HIM GUMMIES</t>
  </si>
  <si>
    <t>910454</t>
  </si>
  <si>
    <t>MULTI VITAMIN</t>
  </si>
  <si>
    <t>13341</t>
  </si>
  <si>
    <t>NM FISH OIL 1400MG 130CT</t>
  </si>
  <si>
    <t>294780</t>
  </si>
  <si>
    <t>NATHANS   3 LB BF SKNLSS FRNK</t>
  </si>
  <si>
    <t>14114</t>
  </si>
  <si>
    <t>201060073</t>
  </si>
  <si>
    <t>FRESH VEGETABLES</t>
  </si>
  <si>
    <t>910261</t>
  </si>
  <si>
    <t>CARROTS</t>
  </si>
  <si>
    <t>352622</t>
  </si>
  <si>
    <t>102010025</t>
  </si>
  <si>
    <t>DRESSINGS/OILS</t>
  </si>
  <si>
    <t>910069</t>
  </si>
  <si>
    <t>SALAD DRESSING</t>
  </si>
  <si>
    <t>980103</t>
  </si>
  <si>
    <t>BEEF RIBEYE AAA CANADA</t>
  </si>
  <si>
    <t>201050065</t>
  </si>
  <si>
    <t>FRESH BEEF</t>
  </si>
  <si>
    <t>911371</t>
  </si>
  <si>
    <t>RIB EYE</t>
  </si>
  <si>
    <t>275185006</t>
  </si>
  <si>
    <t>PICK N' PACK, CHEETOS TOSTITOS</t>
  </si>
  <si>
    <t>297850</t>
  </si>
  <si>
    <t>910826</t>
  </si>
  <si>
    <t>ENERGY DRINKS</t>
  </si>
  <si>
    <t>142244</t>
  </si>
  <si>
    <t>NISSIN TOP RAMEN CHICKEN 48/3OZ</t>
  </si>
  <si>
    <t>910122</t>
  </si>
  <si>
    <t>INSTANT NOODLES</t>
  </si>
  <si>
    <t>300522</t>
  </si>
  <si>
    <t>910132</t>
  </si>
  <si>
    <t>ACTIVE NUTRITION DRINKS</t>
  </si>
  <si>
    <t>91036</t>
  </si>
  <si>
    <t>OLAY TOTAL EFFECTS MOIST SPF 15 3.4OZ</t>
  </si>
  <si>
    <t>302020138</t>
  </si>
  <si>
    <t>SKIN CARE</t>
  </si>
  <si>
    <t>910433</t>
  </si>
  <si>
    <t>FACIAL CARE</t>
  </si>
  <si>
    <t>182613</t>
  </si>
  <si>
    <t>302060148</t>
  </si>
  <si>
    <t>COUGH COLD &amp; ALLERGY</t>
  </si>
  <si>
    <t>910460</t>
  </si>
  <si>
    <t>COLD REMEDIES</t>
  </si>
  <si>
    <t>297198</t>
  </si>
  <si>
    <t>NEXXUS COLOR ASSURE SH/CD 2 -32OZ</t>
  </si>
  <si>
    <t>697297</t>
  </si>
  <si>
    <t>302010132</t>
  </si>
  <si>
    <t>FEMININE CARE</t>
  </si>
  <si>
    <t>911302</t>
  </si>
  <si>
    <t>PADS/LINERS</t>
  </si>
  <si>
    <t>12465</t>
  </si>
  <si>
    <t>58427</t>
  </si>
  <si>
    <t>910066</t>
  </si>
  <si>
    <t>OIL</t>
  </si>
  <si>
    <t>346048</t>
  </si>
  <si>
    <t>NM ASHWAGANDHA GUMMIES 130CT</t>
  </si>
  <si>
    <t>980210</t>
  </si>
  <si>
    <t>911352</t>
  </si>
  <si>
    <t>BEEF TENDERLOIN</t>
  </si>
  <si>
    <t>32970</t>
  </si>
  <si>
    <t>344582</t>
  </si>
  <si>
    <t>350903</t>
  </si>
  <si>
    <t>910130</t>
  </si>
  <si>
    <t>234159</t>
  </si>
  <si>
    <t>327708</t>
  </si>
  <si>
    <t>314197</t>
  </si>
  <si>
    <t>102020030</t>
  </si>
  <si>
    <t>BAKING</t>
  </si>
  <si>
    <t>910083</t>
  </si>
  <si>
    <t>BAKING MIXES</t>
  </si>
  <si>
    <t>338978</t>
  </si>
  <si>
    <t>TRESEMME HAIRSPRAY EXTRA HOLD 2/14.6OZ</t>
  </si>
  <si>
    <t>93783</t>
  </si>
  <si>
    <t>201050068</t>
  </si>
  <si>
    <t>FRESH POULTRY</t>
  </si>
  <si>
    <t>910226</t>
  </si>
  <si>
    <t>GROUND POULTRY</t>
  </si>
  <si>
    <t>286104</t>
  </si>
  <si>
    <t>910428</t>
  </si>
  <si>
    <t>CONDITIONER</t>
  </si>
  <si>
    <t>342192</t>
  </si>
  <si>
    <t>HUGGIES SNUG &amp; DRY DIAPERS S7 126CT</t>
  </si>
  <si>
    <t>984279</t>
  </si>
  <si>
    <t>347616</t>
  </si>
  <si>
    <t>910427</t>
  </si>
  <si>
    <t>SHAMPOO</t>
  </si>
  <si>
    <t>227942</t>
  </si>
  <si>
    <t>911270</t>
  </si>
  <si>
    <t>DRYER SHEETS</t>
  </si>
  <si>
    <t>242484</t>
  </si>
  <si>
    <t>201020058</t>
  </si>
  <si>
    <t>YOGURT</t>
  </si>
  <si>
    <t>910854</t>
  </si>
  <si>
    <t>INDULGENT YOGURT</t>
  </si>
  <si>
    <t>633889</t>
  </si>
  <si>
    <t>910359</t>
  </si>
  <si>
    <t>WRAPS</t>
  </si>
  <si>
    <t>221506</t>
  </si>
  <si>
    <t>910093</t>
  </si>
  <si>
    <t>FRUIT SNACKS</t>
  </si>
  <si>
    <t>198696</t>
  </si>
  <si>
    <t>910175</t>
  </si>
  <si>
    <t>GREEK YOGURT</t>
  </si>
  <si>
    <t>261625</t>
  </si>
  <si>
    <t>910898</t>
  </si>
  <si>
    <t>SPECIALTY MEATS</t>
  </si>
  <si>
    <t>326032</t>
  </si>
  <si>
    <t>48196</t>
  </si>
  <si>
    <t>VF LUNCH 2PLY NAPKIN 660CT</t>
  </si>
  <si>
    <t>910368</t>
  </si>
  <si>
    <t>NAPKINS</t>
  </si>
  <si>
    <t>339683</t>
  </si>
  <si>
    <t>PANTENE MIRACLE RESCUE 10N1 SPRAY 12.7OZ</t>
  </si>
  <si>
    <t>234302</t>
  </si>
  <si>
    <t>ENERGIZER ULTIMATE LITHIUM AA-18PK</t>
  </si>
  <si>
    <t>216083</t>
  </si>
  <si>
    <t>201020052</t>
  </si>
  <si>
    <t>DAIRY CHEESE</t>
  </si>
  <si>
    <t>910151</t>
  </si>
  <si>
    <t>HARD CHEESE</t>
  </si>
  <si>
    <t>340498</t>
  </si>
  <si>
    <t>HUGGIES SKIN ESSENTAILS  SIZE 2 168CT</t>
  </si>
  <si>
    <t>68313</t>
  </si>
  <si>
    <t>911328</t>
  </si>
  <si>
    <t>SALTY SNACKS VEND PACK</t>
  </si>
  <si>
    <t>315845</t>
  </si>
  <si>
    <t>NM WELLBLENDS STRESS RELIEF GUMMIES 84CT</t>
  </si>
  <si>
    <t>321220</t>
  </si>
  <si>
    <t>HEALTH-ADE PASSION FRUT- TANGRINE 6/16OZ</t>
  </si>
  <si>
    <t>201060076</t>
  </si>
  <si>
    <t>PRODUCE BEVERAGES</t>
  </si>
  <si>
    <t>911397</t>
  </si>
  <si>
    <t>KOMBUCHA</t>
  </si>
  <si>
    <t>33165</t>
  </si>
  <si>
    <t>NATURE MADE COQ10 200MG</t>
  </si>
  <si>
    <t>66098</t>
  </si>
  <si>
    <t>PULL-UPS GIRL TRAINING PANT 4T-5T 102CT</t>
  </si>
  <si>
    <t>910440</t>
  </si>
  <si>
    <t>TRAINING PANTS</t>
  </si>
  <si>
    <t>326031</t>
  </si>
  <si>
    <t>MARZETTI SIMPLY CAESAR DRESSING 6/24 OZ</t>
  </si>
  <si>
    <t>299492</t>
  </si>
  <si>
    <t>NATURE MADE VITAMIN C CHEWABLE 1000MG</t>
  </si>
  <si>
    <t>31439</t>
  </si>
  <si>
    <t>911330</t>
  </si>
  <si>
    <t>COOKIE</t>
  </si>
  <si>
    <t>340893</t>
  </si>
  <si>
    <t>302060150</t>
  </si>
  <si>
    <t>WELLNESS SOLUTIONS</t>
  </si>
  <si>
    <t>910464</t>
  </si>
  <si>
    <t>EYECARE</t>
  </si>
  <si>
    <t>227027</t>
  </si>
  <si>
    <t>910159</t>
  </si>
  <si>
    <t>SPECIALTY ENTERTAINING</t>
  </si>
  <si>
    <t>336492</t>
  </si>
  <si>
    <t>HUGGIES SKIN ESSENTIALS S6 92 CT</t>
  </si>
  <si>
    <t>297853</t>
  </si>
  <si>
    <t>911290</t>
  </si>
  <si>
    <t>MULTI-SERVE JUICE BOTTLES</t>
  </si>
  <si>
    <t>701754</t>
  </si>
  <si>
    <t>NMADE 150 CT 400 MG MAGNESI</t>
  </si>
  <si>
    <t>869686</t>
  </si>
  <si>
    <t>ENSURE 24/8 OZ CHOCOLATE</t>
  </si>
  <si>
    <t>244506</t>
  </si>
  <si>
    <t>COLGATE OPTIC WHITE 4.2OZ 5PK</t>
  </si>
  <si>
    <t>302040143</t>
  </si>
  <si>
    <t>ORAL CARE</t>
  </si>
  <si>
    <t>910446</t>
  </si>
  <si>
    <t>TOOTHPASTE</t>
  </si>
  <si>
    <t>341967</t>
  </si>
  <si>
    <t>HELUVA GOOD BUTTERMILK RANCH DIP 32OZ</t>
  </si>
  <si>
    <t>201090090</t>
  </si>
  <si>
    <t>READY 2 EAT</t>
  </si>
  <si>
    <t>910311</t>
  </si>
  <si>
    <t>R2E DIPS</t>
  </si>
  <si>
    <t>307519</t>
  </si>
  <si>
    <t>NERDS CLUSTERS SUB 32OZ</t>
  </si>
  <si>
    <t>343916</t>
  </si>
  <si>
    <t>201050070</t>
  </si>
  <si>
    <t>SPECIALTY FRESH MEAT</t>
  </si>
  <si>
    <t>910230</t>
  </si>
  <si>
    <t>SPECIALTY MEAT</t>
  </si>
  <si>
    <t>264177</t>
  </si>
  <si>
    <t>910805</t>
  </si>
  <si>
    <t>SHELF STABLE ENTREES</t>
  </si>
  <si>
    <t>306422</t>
  </si>
  <si>
    <t>PULL-UPS BOY TRAINING PANT 5T-6T 84CT</t>
  </si>
  <si>
    <t>78402</t>
  </si>
  <si>
    <t>IDAHOAN 8CT BUTTERY HOMESTYLE</t>
  </si>
  <si>
    <t>338755</t>
  </si>
  <si>
    <t>102010023</t>
  </si>
  <si>
    <t>PACKAGED FRUIT &amp; VEGETABLES</t>
  </si>
  <si>
    <t>910063</t>
  </si>
  <si>
    <t>SINGLE-SERVING FRUIT</t>
  </si>
  <si>
    <t>330655</t>
  </si>
  <si>
    <t>102020039</t>
  </si>
  <si>
    <t>PASTA &amp; SAUCE</t>
  </si>
  <si>
    <t>910072</t>
  </si>
  <si>
    <t>PASTA SAUCE</t>
  </si>
  <si>
    <t>321151</t>
  </si>
  <si>
    <t>WYMAN'S FROZEN SLICED STRAWBERRIES 4 LB.</t>
  </si>
  <si>
    <t>202020105</t>
  </si>
  <si>
    <t>FROZEN PRODUCE</t>
  </si>
  <si>
    <t>910334</t>
  </si>
  <si>
    <t>FROZEN FRUITS</t>
  </si>
  <si>
    <t>981040</t>
  </si>
  <si>
    <t>109503</t>
  </si>
  <si>
    <t>346272</t>
  </si>
  <si>
    <t>910345</t>
  </si>
  <si>
    <t>FROZEN APPETIZERS</t>
  </si>
  <si>
    <t>168234</t>
  </si>
  <si>
    <t>339365</t>
  </si>
  <si>
    <t>328664</t>
  </si>
  <si>
    <t>911404</t>
  </si>
  <si>
    <t>R2E PROTEIN</t>
  </si>
  <si>
    <t>329567</t>
  </si>
  <si>
    <t>281885</t>
  </si>
  <si>
    <t>910309</t>
  </si>
  <si>
    <t>FRESH PASTA</t>
  </si>
  <si>
    <t>337178</t>
  </si>
  <si>
    <t>34150</t>
  </si>
  <si>
    <t>350981</t>
  </si>
  <si>
    <t>102010019</t>
  </si>
  <si>
    <t>CONDIMENTS</t>
  </si>
  <si>
    <t>910134</t>
  </si>
  <si>
    <t>SPICES</t>
  </si>
  <si>
    <t>286640</t>
  </si>
  <si>
    <t>ASTEPRO ADULT NASAL SPRAY 3 X 120 DOSE</t>
  </si>
  <si>
    <t>910463</t>
  </si>
  <si>
    <t>ALLERGY</t>
  </si>
  <si>
    <t>257234</t>
  </si>
  <si>
    <t>ALWAYS INFINITY SIZE 2 PAD 80CT</t>
  </si>
  <si>
    <t>251459</t>
  </si>
  <si>
    <t>STOUFFER'S MEATLOAF 2 PK</t>
  </si>
  <si>
    <t>338454</t>
  </si>
  <si>
    <t>340219</t>
  </si>
  <si>
    <t>101020017</t>
  </si>
  <si>
    <t>WATER</t>
  </si>
  <si>
    <t>910046</t>
  </si>
  <si>
    <t>SPARKLING WATER</t>
  </si>
  <si>
    <t>343619</t>
  </si>
  <si>
    <t>202040117</t>
  </si>
  <si>
    <t>FROZEN SHELLFISH XCT</t>
  </si>
  <si>
    <t>910352</t>
  </si>
  <si>
    <t>FROZEN SHRIMP</t>
  </si>
  <si>
    <t>314074</t>
  </si>
  <si>
    <t>DELMT 8/14.5OZ FRNCH GRN BEAN</t>
  </si>
  <si>
    <t>910064</t>
  </si>
  <si>
    <t>MULTI-SERVING VEGETABLES</t>
  </si>
  <si>
    <t>346075</t>
  </si>
  <si>
    <t>275185010</t>
  </si>
  <si>
    <t>342210</t>
  </si>
  <si>
    <t>HUGGIES SNUG &amp; DRY BABY DIAPERS S4 210CT</t>
  </si>
  <si>
    <t>226496</t>
  </si>
  <si>
    <t>PULL-UPS GIRL TRAINING PANT 2T-3T 128CT</t>
  </si>
  <si>
    <t>337376</t>
  </si>
  <si>
    <t>HUGGIES LITTLE MOVER DIAPER SZ 6 120CT</t>
  </si>
  <si>
    <t>338659</t>
  </si>
  <si>
    <t>327136</t>
  </si>
  <si>
    <t>304121</t>
  </si>
  <si>
    <t>335620</t>
  </si>
  <si>
    <t>SECRET CLINICAL IS CC 3/1.6OZ</t>
  </si>
  <si>
    <t>302020134</t>
  </si>
  <si>
    <t>DEODORANTS</t>
  </si>
  <si>
    <t>910422</t>
  </si>
  <si>
    <t>WOMEN'S DEODORANT</t>
  </si>
  <si>
    <t>324400</t>
  </si>
  <si>
    <t>265386</t>
  </si>
  <si>
    <t>18468</t>
  </si>
  <si>
    <t>264245</t>
  </si>
  <si>
    <t>GOODNITES BOY TRAINING PANT LARGE 58CT</t>
  </si>
  <si>
    <t>352318</t>
  </si>
  <si>
    <t>TIDE PODS ORIGINAL 168CT</t>
  </si>
  <si>
    <t>314910</t>
  </si>
  <si>
    <t>26944</t>
  </si>
  <si>
    <t>329436</t>
  </si>
  <si>
    <t>21341</t>
  </si>
  <si>
    <t>102010022</t>
  </si>
  <si>
    <t>CANNED PROTEIN</t>
  </si>
  <si>
    <t>911389</t>
  </si>
  <si>
    <t>CANNED SEAFOOD</t>
  </si>
  <si>
    <t>71656</t>
  </si>
  <si>
    <t>216084</t>
  </si>
  <si>
    <t>GALBANI REDUCED FAT STRING CHEESE 30CT.</t>
  </si>
  <si>
    <t>329486</t>
  </si>
  <si>
    <t>NM MAGNESIUM GLYCINATE GUMMIES</t>
  </si>
  <si>
    <t>242546</t>
  </si>
  <si>
    <t>GILLETTE MACH 3 20CT</t>
  </si>
  <si>
    <t>306690</t>
  </si>
  <si>
    <t>346079</t>
  </si>
  <si>
    <t>NM VITAMIN D3 + K2 90CT</t>
  </si>
  <si>
    <t>337379</t>
  </si>
  <si>
    <t>HUGGIES LITLE MOVER DIAPER SZ4 168CT</t>
  </si>
  <si>
    <t>31391</t>
  </si>
  <si>
    <t>114185</t>
  </si>
  <si>
    <t>297199</t>
  </si>
  <si>
    <t>NEXXUS THERAPPE SHAMPOO 42 OZ</t>
  </si>
  <si>
    <t>353434</t>
  </si>
  <si>
    <t>336486</t>
  </si>
  <si>
    <t>HUGGIES LITTLE SNUGGLER DIAPER SZ2 210CT</t>
  </si>
  <si>
    <t>328703</t>
  </si>
  <si>
    <t>TAMPAX RADIANT TAMPONS TRIO PACK 77CT</t>
  </si>
  <si>
    <t>911303</t>
  </si>
  <si>
    <t>TAMPONS</t>
  </si>
  <si>
    <t>95242</t>
  </si>
  <si>
    <t>281509</t>
  </si>
  <si>
    <t>336636</t>
  </si>
  <si>
    <t>339310</t>
  </si>
  <si>
    <t>302020139</t>
  </si>
  <si>
    <t>SOAPS/WASH</t>
  </si>
  <si>
    <t>910436</t>
  </si>
  <si>
    <t>BODY WASH</t>
  </si>
  <si>
    <t>346301</t>
  </si>
  <si>
    <t>FORMAGGIO MOZZ PROSCIUTTO 10X1.5OZ</t>
  </si>
  <si>
    <t>336635</t>
  </si>
  <si>
    <t>BERKLEY JENSEN SENS/FF 1080CT WIPES</t>
  </si>
  <si>
    <t>343433</t>
  </si>
  <si>
    <t>911406</t>
  </si>
  <si>
    <t>R2E ENTREES</t>
  </si>
  <si>
    <t>351421</t>
  </si>
  <si>
    <t>BODYARMOR FLASH IV CAFFEINE STICKS 24PK</t>
  </si>
  <si>
    <t>331092</t>
  </si>
  <si>
    <t>51947</t>
  </si>
  <si>
    <t>GOODNITES GIRL TRAINING PANT S/M 74CT</t>
  </si>
  <si>
    <t>324421</t>
  </si>
  <si>
    <t>WELLSLEY FARMS BUTTERFLY SHRIMP</t>
  </si>
  <si>
    <t>88453</t>
  </si>
  <si>
    <t>910118</t>
  </si>
  <si>
    <t>RICE</t>
  </si>
  <si>
    <t>319748</t>
  </si>
  <si>
    <t>NATURE MADE CHOLESTOFF PLUS 210CT</t>
  </si>
  <si>
    <t>136296</t>
  </si>
  <si>
    <t>HORMEL 6/15Z CHILI W/BEANS</t>
  </si>
  <si>
    <t>338092</t>
  </si>
  <si>
    <t>302020133</t>
  </si>
  <si>
    <t>SEASONAL BEAUTY</t>
  </si>
  <si>
    <t>910437</t>
  </si>
  <si>
    <t>SUN BLOCK</t>
  </si>
  <si>
    <t>308400</t>
  </si>
  <si>
    <t>282391</t>
  </si>
  <si>
    <t>323074</t>
  </si>
  <si>
    <t>SECRET OUTLAST CG COMCLN 2.6OZ/4CT</t>
  </si>
  <si>
    <t>326314</t>
  </si>
  <si>
    <t>346063</t>
  </si>
  <si>
    <t>NATIVE VANILLA VARIETY DEO PK, 3/2.65OZ</t>
  </si>
  <si>
    <t>9078</t>
  </si>
  <si>
    <t>910856</t>
  </si>
  <si>
    <t>BEANS/PEAS</t>
  </si>
  <si>
    <t>337600</t>
  </si>
  <si>
    <t>HUGGIES LITTLE SNUGGLER DIAPER SZ1 234CT</t>
  </si>
  <si>
    <t>226836</t>
  </si>
  <si>
    <t>28292</t>
  </si>
  <si>
    <t>275185002</t>
  </si>
  <si>
    <t>302291</t>
  </si>
  <si>
    <t>335084</t>
  </si>
  <si>
    <t>332883</t>
  </si>
  <si>
    <t>910341</t>
  </si>
  <si>
    <t>FROZEN HAND-HELD</t>
  </si>
  <si>
    <t>322634</t>
  </si>
  <si>
    <t>OLD SPICE SWAGGER BW 33.4OZ TWIN PACK</t>
  </si>
  <si>
    <t>335295</t>
  </si>
  <si>
    <t>37154</t>
  </si>
  <si>
    <t>39553</t>
  </si>
  <si>
    <t>STOUFFERS LASAGNA 96 OZ</t>
  </si>
  <si>
    <t>21246</t>
  </si>
  <si>
    <t>NM MULTI FOR HER 300 CT</t>
  </si>
  <si>
    <t>350055</t>
  </si>
  <si>
    <t>HAWAIIAN TROPIC PROT TAN SPF15 C-SP 2PK</t>
  </si>
  <si>
    <t>57217</t>
  </si>
  <si>
    <t>910080</t>
  </si>
  <si>
    <t>SUGAR</t>
  </si>
  <si>
    <t>53753</t>
  </si>
  <si>
    <t>910173</t>
  </si>
  <si>
    <t>CHILDREN'S YOGURT</t>
  </si>
  <si>
    <t>988067</t>
  </si>
  <si>
    <t>911373</t>
  </si>
  <si>
    <t>PICNIC</t>
  </si>
  <si>
    <t>328641</t>
  </si>
  <si>
    <t>WF ASSORTED MINI QUICHE, 48 CT.</t>
  </si>
  <si>
    <t>338463</t>
  </si>
  <si>
    <t>911276</t>
  </si>
  <si>
    <t>POWDER DETERGENTS</t>
  </si>
  <si>
    <t>26129</t>
  </si>
  <si>
    <t>HIDDEN VALLEY RANCH LITE 2/40 OZ</t>
  </si>
  <si>
    <t>286108</t>
  </si>
  <si>
    <t>33406</t>
  </si>
  <si>
    <t>910251</t>
  </si>
  <si>
    <t>TOMATOES</t>
  </si>
  <si>
    <t>325553</t>
  </si>
  <si>
    <t>911277</t>
  </si>
  <si>
    <t>UNIT DOSE LAUNDRY DETERGENTS</t>
  </si>
  <si>
    <t>329454</t>
  </si>
  <si>
    <t>910310</t>
  </si>
  <si>
    <t>FRESH SOUPS</t>
  </si>
  <si>
    <t>32115</t>
  </si>
  <si>
    <t>910045</t>
  </si>
  <si>
    <t>STILL WATER</t>
  </si>
  <si>
    <t>112132</t>
  </si>
  <si>
    <t>910153</t>
  </si>
  <si>
    <t>SOFT SPECIALTY CHEESE</t>
  </si>
  <si>
    <t>245666</t>
  </si>
  <si>
    <t>PANERA CHICKEN NOODLE SOUP, 48 OZ.</t>
  </si>
  <si>
    <t>325492</t>
  </si>
  <si>
    <t>15925</t>
  </si>
  <si>
    <t>301020126</t>
  </si>
  <si>
    <t>CLEANING</t>
  </si>
  <si>
    <t>910395</t>
  </si>
  <si>
    <t>ALL PURPOSE CLEANERS</t>
  </si>
  <si>
    <t>96253</t>
  </si>
  <si>
    <t>910857</t>
  </si>
  <si>
    <t>ASPARAGUS</t>
  </si>
  <si>
    <t>336662</t>
  </si>
  <si>
    <t>342172</t>
  </si>
  <si>
    <t>HUGGIES SNUG &amp; DRY BABY DIAPERS S5 186CT</t>
  </si>
  <si>
    <t>347566</t>
  </si>
  <si>
    <t>201040063</t>
  </si>
  <si>
    <t>FROZEN FISH</t>
  </si>
  <si>
    <t>910192</t>
  </si>
  <si>
    <t>SMOKED</t>
  </si>
  <si>
    <t>328156</t>
  </si>
  <si>
    <t>30502</t>
  </si>
  <si>
    <t>KEEPOS 12.3 OZ GRK OLIVE MDLY</t>
  </si>
  <si>
    <t>328644</t>
  </si>
  <si>
    <t>342671</t>
  </si>
  <si>
    <t>SQUARE TABLE BEEF TIPS 24OZ</t>
  </si>
  <si>
    <t>339746</t>
  </si>
  <si>
    <t>989801</t>
  </si>
  <si>
    <t>201040062</t>
  </si>
  <si>
    <t>FRESH FISH</t>
  </si>
  <si>
    <t>910187</t>
  </si>
  <si>
    <t>FILLETS</t>
  </si>
  <si>
    <t>152658</t>
  </si>
  <si>
    <t>313769</t>
  </si>
  <si>
    <t>910233</t>
  </si>
  <si>
    <t>CITRUS</t>
  </si>
  <si>
    <t>335070</t>
  </si>
  <si>
    <t>ENERGIZER RECHARGE CHARGING KIT</t>
  </si>
  <si>
    <t>338917</t>
  </si>
  <si>
    <t>SEAPAK SHRIMP SCAMPI</t>
  </si>
  <si>
    <t>339386</t>
  </si>
  <si>
    <t>NATIVE NOURISHING CCNT&amp;VAN 72Z/2PK</t>
  </si>
  <si>
    <t>11676</t>
  </si>
  <si>
    <t>COUNTRY TIME 34 QT PINK LEMONADE</t>
  </si>
  <si>
    <t>982295</t>
  </si>
  <si>
    <t>86878</t>
  </si>
  <si>
    <t>ORG GRASS FED 93% GRD BEEF</t>
  </si>
  <si>
    <t>910211</t>
  </si>
  <si>
    <t>NATURAL/ORGANIC BEEF</t>
  </si>
  <si>
    <t>234319</t>
  </si>
  <si>
    <t>32424</t>
  </si>
  <si>
    <t>699240</t>
  </si>
  <si>
    <t>346303</t>
  </si>
  <si>
    <t>330778</t>
  </si>
  <si>
    <t>PUFFS SOFT CUBE 12/56CT</t>
  </si>
  <si>
    <t>218021</t>
  </si>
  <si>
    <t>300721</t>
  </si>
  <si>
    <t>910269</t>
  </si>
  <si>
    <t>340867</t>
  </si>
  <si>
    <t>243404</t>
  </si>
  <si>
    <t>SERESTO COLLAR CAT 8 MONTH</t>
  </si>
  <si>
    <t>303010155</t>
  </si>
  <si>
    <t>PET ACCESSORIES</t>
  </si>
  <si>
    <t>910487</t>
  </si>
  <si>
    <t>FLEA &amp; TICK</t>
  </si>
  <si>
    <t>24760</t>
  </si>
  <si>
    <t>247895</t>
  </si>
  <si>
    <t>HUGGIES NAT CARE CUCUMBER WIPE 1088CT</t>
  </si>
  <si>
    <t>244799</t>
  </si>
  <si>
    <t>DOVE MEN CARE BAR EXTRA FRSH 14/3.75 OZ</t>
  </si>
  <si>
    <t>910435</t>
  </si>
  <si>
    <t>SOAPS</t>
  </si>
  <si>
    <t>227423</t>
  </si>
  <si>
    <t>VITA COCO EXTRA COCONUT WATER 12PK/330ML</t>
  </si>
  <si>
    <t>342211</t>
  </si>
  <si>
    <t>HUGGIES SNUG &amp; DRY BABY DIAPERS S3 232CT</t>
  </si>
  <si>
    <t>245224</t>
  </si>
  <si>
    <t>911336</t>
  </si>
  <si>
    <t>BOWLS</t>
  </si>
  <si>
    <t>341142</t>
  </si>
  <si>
    <t>201030060</t>
  </si>
  <si>
    <t>REFRIG BEVERAGES</t>
  </si>
  <si>
    <t>910179</t>
  </si>
  <si>
    <t>333553</t>
  </si>
  <si>
    <t>TAMPAX PEARL TAMPONS MULTIPACK, 86CT.</t>
  </si>
  <si>
    <t>20506</t>
  </si>
  <si>
    <t>910448</t>
  </si>
  <si>
    <t>MOUTHWASH</t>
  </si>
  <si>
    <t>9291</t>
  </si>
  <si>
    <t>THOMAS BLUEBERRY BAGEL 6CT</t>
  </si>
  <si>
    <t>201010045</t>
  </si>
  <si>
    <t>COMMERCIAL BAKERY</t>
  </si>
  <si>
    <t>911247</t>
  </si>
  <si>
    <t>351851</t>
  </si>
  <si>
    <t>910478</t>
  </si>
  <si>
    <t>LITTER</t>
  </si>
  <si>
    <t>338763</t>
  </si>
  <si>
    <t>335625</t>
  </si>
  <si>
    <t>OLAY COLLAGEN PEP24 MST PUMP, 2/1.7OZ</t>
  </si>
  <si>
    <t>18384</t>
  </si>
  <si>
    <t>SENSOR 2 52CT DISPOSABLE RAZORS</t>
  </si>
  <si>
    <t>335396</t>
  </si>
  <si>
    <t>321350</t>
  </si>
  <si>
    <t>20102</t>
  </si>
  <si>
    <t>910267</t>
  </si>
  <si>
    <t>SEASONAL</t>
  </si>
  <si>
    <t>351593</t>
  </si>
  <si>
    <t>343937</t>
  </si>
  <si>
    <t>SEAPAK POPCORN SHRIMP 32OZ</t>
  </si>
  <si>
    <t>313275</t>
  </si>
  <si>
    <t>OLD SPICE SWAGGER 2N1 SHAMP/COND 39.9OZ</t>
  </si>
  <si>
    <t>322173</t>
  </si>
  <si>
    <t>303020158</t>
  </si>
  <si>
    <t>PET FOOD</t>
  </si>
  <si>
    <t>910491</t>
  </si>
  <si>
    <t>DOG FOOD</t>
  </si>
  <si>
    <t>338334</t>
  </si>
  <si>
    <t>ALWAYS ULTRA THIN PADS, SIZE 2, 92 CT.</t>
  </si>
  <si>
    <t>331445</t>
  </si>
  <si>
    <t>DOWNY LIGHT OCEAN MIST BEADS 39.9OZ</t>
  </si>
  <si>
    <t>911272</t>
  </si>
  <si>
    <t>SCENT BOOSTERS</t>
  </si>
  <si>
    <t>272407</t>
  </si>
  <si>
    <t>910421</t>
  </si>
  <si>
    <t>MEN'S DEODORANT</t>
  </si>
  <si>
    <t>869678</t>
  </si>
  <si>
    <t>ENSURE 24/8 OZ VANILLA</t>
  </si>
  <si>
    <t>344581</t>
  </si>
  <si>
    <t>182612</t>
  </si>
  <si>
    <t>BREATHE RIGHT CLR 72 CT</t>
  </si>
  <si>
    <t>283829</t>
  </si>
  <si>
    <t>12474</t>
  </si>
  <si>
    <t>910174</t>
  </si>
  <si>
    <t>TRADITIONAL YOGURT</t>
  </si>
  <si>
    <t>347692</t>
  </si>
  <si>
    <t>29239</t>
  </si>
  <si>
    <t>325377</t>
  </si>
  <si>
    <t>302060147</t>
  </si>
  <si>
    <t>PAIN</t>
  </si>
  <si>
    <t>910457</t>
  </si>
  <si>
    <t>TOPICAL PAIN</t>
  </si>
  <si>
    <t>984527</t>
  </si>
  <si>
    <t>335077</t>
  </si>
  <si>
    <t>ENERGIZER 2032 LITHIUM 12 PK</t>
  </si>
  <si>
    <t>910547</t>
  </si>
  <si>
    <t>SMALL DEVICE BATTERIES</t>
  </si>
  <si>
    <t>338751</t>
  </si>
  <si>
    <t>FARM RICH STUFFED BUFFALO CRUNCHERS</t>
  </si>
  <si>
    <t>328299</t>
  </si>
  <si>
    <t>336528</t>
  </si>
  <si>
    <t>328706</t>
  </si>
  <si>
    <t>OLAY SUPER SERUM, TWIN PACK/1 FLOZ</t>
  </si>
  <si>
    <t>356611</t>
  </si>
  <si>
    <t>329484</t>
  </si>
  <si>
    <t>NM ADVANCED MULTI FOR HER GUMMIES</t>
  </si>
  <si>
    <t>69261</t>
  </si>
  <si>
    <t>331444</t>
  </si>
  <si>
    <t>DOWNY UNSTOPPABLES FRESH BEADS 39.9OZ</t>
  </si>
  <si>
    <t>66002</t>
  </si>
  <si>
    <t>32553</t>
  </si>
  <si>
    <t>350086</t>
  </si>
  <si>
    <t>689789</t>
  </si>
  <si>
    <t>NM VITC 1000MG 365CT</t>
  </si>
  <si>
    <t>19572</t>
  </si>
  <si>
    <t>218939</t>
  </si>
  <si>
    <t>302030142</t>
  </si>
  <si>
    <t>BABY CARE</t>
  </si>
  <si>
    <t>910442</t>
  </si>
  <si>
    <t>380199</t>
  </si>
  <si>
    <t>282401</t>
  </si>
  <si>
    <t>337402</t>
  </si>
  <si>
    <t>HUGGIES LITTLE MOVER DIAPER SZ 3 192CT</t>
  </si>
  <si>
    <t>329568</t>
  </si>
  <si>
    <t>247230</t>
  </si>
  <si>
    <t>350815</t>
  </si>
  <si>
    <t>911407</t>
  </si>
  <si>
    <t>CHICKEN SAUSAGE</t>
  </si>
  <si>
    <t>247076</t>
  </si>
  <si>
    <t>343396</t>
  </si>
  <si>
    <t>TRES BOUNCY CURL SHCD 2/40OZ</t>
  </si>
  <si>
    <t>346635</t>
  </si>
  <si>
    <t>910363</t>
  </si>
  <si>
    <t>FOOD BAGS</t>
  </si>
  <si>
    <t>335397</t>
  </si>
  <si>
    <t>ENERGIZER MAX AA 48PK</t>
  </si>
  <si>
    <t>188103</t>
  </si>
  <si>
    <t>336491</t>
  </si>
  <si>
    <t>HUGGIES SKIN ESSENTIALS S5 112 CT</t>
  </si>
  <si>
    <t>342818</t>
  </si>
  <si>
    <t>242791</t>
  </si>
  <si>
    <t>54212</t>
  </si>
  <si>
    <t>S PELLEGRINO 15/750ML</t>
  </si>
  <si>
    <t>342171</t>
  </si>
  <si>
    <t>HUGGIES SNUG &amp; DRY DIAPERS S6 156CT</t>
  </si>
  <si>
    <t>275185007</t>
  </si>
  <si>
    <t>216219</t>
  </si>
  <si>
    <t>28871</t>
  </si>
  <si>
    <t>324408</t>
  </si>
  <si>
    <t>NATURE MADE VITAMIN C 1000MG</t>
  </si>
  <si>
    <t>25014</t>
  </si>
  <si>
    <t>30950</t>
  </si>
  <si>
    <t>PLANTERS UNSALTED DRY ROASTED PNUT 35 OZ</t>
  </si>
  <si>
    <t>102020033</t>
  </si>
  <si>
    <t>DRIED FRUIT AND NUTS</t>
  </si>
  <si>
    <t>910850</t>
  </si>
  <si>
    <t>SNACK NUTS</t>
  </si>
  <si>
    <t>243957</t>
  </si>
  <si>
    <t>CLARITIN REDITABS 24HR 10MG 70CT</t>
  </si>
  <si>
    <t>339028</t>
  </si>
  <si>
    <t>320860</t>
  </si>
  <si>
    <t>327110</t>
  </si>
  <si>
    <t>24131</t>
  </si>
  <si>
    <t>910830</t>
  </si>
  <si>
    <t>ICED TEA</t>
  </si>
  <si>
    <t>20883</t>
  </si>
  <si>
    <t>54048</t>
  </si>
  <si>
    <t>16162</t>
  </si>
  <si>
    <t>29523</t>
  </si>
  <si>
    <t>340201</t>
  </si>
  <si>
    <t>20509</t>
  </si>
  <si>
    <t>11506</t>
  </si>
  <si>
    <t>327135</t>
  </si>
  <si>
    <t>L O LAKES SLICED WHITE AMER CHS 72CT.</t>
  </si>
  <si>
    <t>328642</t>
  </si>
  <si>
    <t>WF MAC AND CHEESE BITES 36 CT</t>
  </si>
  <si>
    <t>275185</t>
  </si>
  <si>
    <t>338333</t>
  </si>
  <si>
    <t>ALWAYS ULTRA THIN PADS, SIZE 5, 72 CT.</t>
  </si>
  <si>
    <t>305785</t>
  </si>
  <si>
    <t>12249</t>
  </si>
  <si>
    <t>910057</t>
  </si>
  <si>
    <t>FRUIT SPREADS</t>
  </si>
  <si>
    <t>340894</t>
  </si>
  <si>
    <t>910054</t>
  </si>
  <si>
    <t>TRADITIONAL CONDIMENTS</t>
  </si>
  <si>
    <t>50550</t>
  </si>
  <si>
    <t>ORGANIC SAMBAZON ACAI 8/64OZ</t>
  </si>
  <si>
    <t>122360</t>
  </si>
  <si>
    <t>GOODNITES GIRL TRAINING PANT XS 44CT</t>
  </si>
  <si>
    <t>101768</t>
  </si>
  <si>
    <t>STOUFFERS SALISBURY STEAK 4PK</t>
  </si>
  <si>
    <t>2771</t>
  </si>
  <si>
    <t>910082</t>
  </si>
  <si>
    <t>BAKING INGREDIENTS</t>
  </si>
  <si>
    <t>383457</t>
  </si>
  <si>
    <t>910052</t>
  </si>
  <si>
    <t>SAUCE</t>
  </si>
  <si>
    <t>32377</t>
  </si>
  <si>
    <t>910245</t>
  </si>
  <si>
    <t>CUT VEGETABLES</t>
  </si>
  <si>
    <t>310609</t>
  </si>
  <si>
    <t>TIDE PODS FREE &amp; GENTLE 156 CT.</t>
  </si>
  <si>
    <t>338764</t>
  </si>
  <si>
    <t>282526</t>
  </si>
  <si>
    <t>247685</t>
  </si>
  <si>
    <t>34253</t>
  </si>
  <si>
    <t>326274</t>
  </si>
  <si>
    <t>MOREY'S WILD SALMON BURGER</t>
  </si>
  <si>
    <t>326033</t>
  </si>
  <si>
    <t>MARZETTI SIMPLY RANCH DRESSING 6/24OZ</t>
  </si>
  <si>
    <t>57219</t>
  </si>
  <si>
    <t>BELVITA CINNAMON 25CT</t>
  </si>
  <si>
    <t>340241</t>
  </si>
  <si>
    <t>911271</t>
  </si>
  <si>
    <t>LIQUID FABRIC SOFTNER</t>
  </si>
  <si>
    <t>251420</t>
  </si>
  <si>
    <t>HUGGIES NAT CARE SENSITIVE WIPE 1088CT</t>
  </si>
  <si>
    <t>329461</t>
  </si>
  <si>
    <t>ALFRESCO GARLIC CHICKEN SAUSAGE</t>
  </si>
  <si>
    <t>27976</t>
  </si>
  <si>
    <t>24682</t>
  </si>
  <si>
    <t>331443</t>
  </si>
  <si>
    <t>243406</t>
  </si>
  <si>
    <t>SERESTO COLLAR LARGE DOG 8 MONTH</t>
  </si>
  <si>
    <t>19378</t>
  </si>
  <si>
    <t>27975</t>
  </si>
  <si>
    <t>984301</t>
  </si>
  <si>
    <t>330500</t>
  </si>
  <si>
    <t>301020129</t>
  </si>
  <si>
    <t>DISH CLEANING</t>
  </si>
  <si>
    <t>910408</t>
  </si>
  <si>
    <t>AUTO DISH DETERGENT</t>
  </si>
  <si>
    <t>330227</t>
  </si>
  <si>
    <t>NATURE MADE VITAMIN D3 5000IU</t>
  </si>
  <si>
    <t>211447</t>
  </si>
  <si>
    <t>VITA     32 OZ HERR PARTY SNK</t>
  </si>
  <si>
    <t>910204</t>
  </si>
  <si>
    <t>JARRED FISH</t>
  </si>
  <si>
    <t>62682</t>
  </si>
  <si>
    <t>911286</t>
  </si>
  <si>
    <t>JOINT HEALTH</t>
  </si>
  <si>
    <t>328643</t>
  </si>
  <si>
    <t>307432</t>
  </si>
  <si>
    <t>DOVE MENS CLEAN COMFORT BW 2/30OZ</t>
  </si>
  <si>
    <t>264247</t>
  </si>
  <si>
    <t>GOODNITES GIRL TRAINING PANT LARGE 58CT</t>
  </si>
  <si>
    <t>28035</t>
  </si>
  <si>
    <t>86879</t>
  </si>
  <si>
    <t>305154</t>
  </si>
  <si>
    <t>144750</t>
  </si>
  <si>
    <t>275945</t>
  </si>
  <si>
    <t>ALFRESCO APPLE CHICKEN SAUSAGE 32 OZ.</t>
  </si>
  <si>
    <t>319944</t>
  </si>
  <si>
    <t>54044</t>
  </si>
  <si>
    <t>PANERA BROC CHED QUAD PACK</t>
  </si>
  <si>
    <t>345732</t>
  </si>
  <si>
    <t>236790</t>
  </si>
  <si>
    <t>337901</t>
  </si>
  <si>
    <t>352046</t>
  </si>
  <si>
    <t>335064</t>
  </si>
  <si>
    <t>ENERGIZER MAX 9V 8PK</t>
  </si>
  <si>
    <t>338663</t>
  </si>
  <si>
    <t>15695</t>
  </si>
  <si>
    <t>315798</t>
  </si>
  <si>
    <t>SAN PELL SLIM 11.15OZ 24PK</t>
  </si>
  <si>
    <t>30747</t>
  </si>
  <si>
    <t>322971</t>
  </si>
  <si>
    <t>223735</t>
  </si>
  <si>
    <t>337905</t>
  </si>
  <si>
    <t>11675</t>
  </si>
  <si>
    <t>COUNTRY TIME 34 QT LEMONADE</t>
  </si>
  <si>
    <t>321221</t>
  </si>
  <si>
    <t>HEALTH-ADE POMEGRANATE BLUEBERRY 6/16OZ.</t>
  </si>
  <si>
    <t>286107</t>
  </si>
  <si>
    <t>100738</t>
  </si>
  <si>
    <t>340261</t>
  </si>
  <si>
    <t>66078</t>
  </si>
  <si>
    <t>PULL-UPS BOY TRAINING PANT 3T-4T 116CT</t>
  </si>
  <si>
    <t>671849</t>
  </si>
  <si>
    <t>910445</t>
  </si>
  <si>
    <t>TOOTHBRUSHES</t>
  </si>
  <si>
    <t>236793</t>
  </si>
  <si>
    <t>GOGO SQUEEZ ORG APPLESAUCE VP 24/3.2 OZ</t>
  </si>
  <si>
    <t>331440</t>
  </si>
  <si>
    <t>DOWNY INFUSIONS CALM L&amp;VB BEADS 39.9OZ</t>
  </si>
  <si>
    <t>233974</t>
  </si>
  <si>
    <t>OLAY EYES ULTIMATE EYE CREAM .4OZ/2 PK</t>
  </si>
  <si>
    <t>239745</t>
  </si>
  <si>
    <t>NM MELATONIN GUMMIES 10MG 150CT</t>
  </si>
  <si>
    <t>338507</t>
  </si>
  <si>
    <t>FARM RICH CHEESY GARLIC PULL-APARTS</t>
  </si>
  <si>
    <t>910342</t>
  </si>
  <si>
    <t>FROZEN PIZZA</t>
  </si>
  <si>
    <t>21681</t>
  </si>
  <si>
    <t>201080327</t>
  </si>
  <si>
    <t>BACON</t>
  </si>
  <si>
    <t>911419</t>
  </si>
  <si>
    <t>RAW BACON</t>
  </si>
  <si>
    <t>699241</t>
  </si>
  <si>
    <t>TAMPAX PEARL SUPER 96CT</t>
  </si>
  <si>
    <t>267368</t>
  </si>
  <si>
    <t>13400</t>
  </si>
  <si>
    <t>PLANTERS SALTED DRY ROASTED PEANUTS 52OZ</t>
  </si>
  <si>
    <t>348408</t>
  </si>
  <si>
    <t>TIDE OXI WHITE+BRIGHT LIQ-147OZ, 115 LDS</t>
  </si>
  <si>
    <t>329176</t>
  </si>
  <si>
    <t>NM PRENATAL GUMMIES 120CT</t>
  </si>
  <si>
    <t>336270</t>
  </si>
  <si>
    <t>910150</t>
  </si>
  <si>
    <t>SNACK CAKES</t>
  </si>
  <si>
    <t>20159</t>
  </si>
  <si>
    <t>910306</t>
  </si>
  <si>
    <t>SIDES &amp; DESSERTS</t>
  </si>
  <si>
    <t>226610</t>
  </si>
  <si>
    <t>PULL-UPS BOY TRAINING PANT 2T-3T 128CT</t>
  </si>
  <si>
    <t>336490</t>
  </si>
  <si>
    <t>HUGGIES SKIN ESSENTIALS S4 132 CT</t>
  </si>
  <si>
    <t>316464</t>
  </si>
  <si>
    <t>ACAI &amp; BANANA BOWL 5.9OZ 6PK</t>
  </si>
  <si>
    <t>704327</t>
  </si>
  <si>
    <t>NM SUPER B COMPLEX 460CT</t>
  </si>
  <si>
    <t>325916</t>
  </si>
  <si>
    <t>STOK UNSWT. COLD BREW COFFEE 2/48 OZ.</t>
  </si>
  <si>
    <t>910180</t>
  </si>
  <si>
    <t>ICED TEA/ICED COFFEE</t>
  </si>
  <si>
    <t>331178</t>
  </si>
  <si>
    <t>341236</t>
  </si>
  <si>
    <t>50197</t>
  </si>
  <si>
    <t>21139</t>
  </si>
  <si>
    <t>51945</t>
  </si>
  <si>
    <t>GOODNITES BOY TRAINING PANT S/M 74CT</t>
  </si>
  <si>
    <t>324550</t>
  </si>
  <si>
    <t>NEXXUS COLOR ASSURE SH/CD 2/32OZ</t>
  </si>
  <si>
    <t>22763</t>
  </si>
  <si>
    <t>NMADE 300/750M CALCIUM SUPPLM</t>
  </si>
  <si>
    <t>911283</t>
  </si>
  <si>
    <t>CALCIUM</t>
  </si>
  <si>
    <t>28491</t>
  </si>
  <si>
    <t>910372</t>
  </si>
  <si>
    <t>CUPS</t>
  </si>
  <si>
    <t>981083</t>
  </si>
  <si>
    <t>324006</t>
  </si>
  <si>
    <t>3397</t>
  </si>
  <si>
    <t>THOMAS EVERYTHING BAGEL 6CT</t>
  </si>
  <si>
    <t>222452</t>
  </si>
  <si>
    <t>910137</t>
  </si>
  <si>
    <t>BREAD</t>
  </si>
  <si>
    <t>706900</t>
  </si>
  <si>
    <t>NM VITAMIN D 5000 IU 220 CT</t>
  </si>
  <si>
    <t>315901</t>
  </si>
  <si>
    <t>267369</t>
  </si>
  <si>
    <t>277983</t>
  </si>
  <si>
    <t>352809</t>
  </si>
  <si>
    <t>VITAL PURSUITS PIZZA VARIETY 4PK</t>
  </si>
  <si>
    <t>693713</t>
  </si>
  <si>
    <t>339684</t>
  </si>
  <si>
    <t>AUSSIE 3 MINUTE MIRACLE CURLS, 2PK</t>
  </si>
  <si>
    <t>325413</t>
  </si>
  <si>
    <t>NATURE MADE BURPLESS FISH OIL</t>
  </si>
  <si>
    <t>275185009</t>
  </si>
  <si>
    <t>343934</t>
  </si>
  <si>
    <t>SMART HARVEST SUMMER BLEND, 3LB</t>
  </si>
  <si>
    <t>910335</t>
  </si>
  <si>
    <t>FROZEN VEGETABLES</t>
  </si>
  <si>
    <t>345985</t>
  </si>
  <si>
    <t>337479</t>
  </si>
  <si>
    <t>255748</t>
  </si>
  <si>
    <t>GAYO AZUL EDAM BALL 30OZ</t>
  </si>
  <si>
    <t>243405</t>
  </si>
  <si>
    <t>313831</t>
  </si>
  <si>
    <t>198366</t>
  </si>
  <si>
    <t>VITA     30 OZ HERRING IN CRM</t>
  </si>
  <si>
    <t>285998</t>
  </si>
  <si>
    <t>CLARITIN ALLERGY TABS 115CT</t>
  </si>
  <si>
    <t>265774</t>
  </si>
  <si>
    <t>GAIN FLINGS ORIGINAL 152 COUNT</t>
  </si>
  <si>
    <t>346046</t>
  </si>
  <si>
    <t>NM MULTI HER GUMMIES +OMEGA 180CT</t>
  </si>
  <si>
    <t>257052</t>
  </si>
  <si>
    <t>BALLPARK MEAT HOT DOG 45OZ</t>
  </si>
  <si>
    <t>334933</t>
  </si>
  <si>
    <t>HEALTH-ADE GUAVA DRAGON FRUIT 6/16OZ</t>
  </si>
  <si>
    <t>336489</t>
  </si>
  <si>
    <t>HUGGIES SKIN ESSENTIALS S3 144 CT</t>
  </si>
  <si>
    <t>346076</t>
  </si>
  <si>
    <t>TAMPAX PEARL TAMPONS MULTIPACK, 86 CT.</t>
  </si>
  <si>
    <t>207855</t>
  </si>
  <si>
    <t>329620</t>
  </si>
  <si>
    <t>CLAM SHACK LOBSTER BISQUE</t>
  </si>
  <si>
    <t>322973</t>
  </si>
  <si>
    <t>OLAY VITAMIN C SERUM, 2PK-1.3 OZ</t>
  </si>
  <si>
    <t>264198</t>
  </si>
  <si>
    <t>MOREY'S SEASON GRILL SALMON 1.25LB</t>
  </si>
  <si>
    <t>267253</t>
  </si>
  <si>
    <t>24260</t>
  </si>
  <si>
    <t>201020057</t>
  </si>
  <si>
    <t>BUTTER &amp; MARGARINE</t>
  </si>
  <si>
    <t>910172</t>
  </si>
  <si>
    <t>MARGARINE</t>
  </si>
  <si>
    <t>79031</t>
  </si>
  <si>
    <t>PANERA 48OZ BROC CHDR SOUP</t>
  </si>
  <si>
    <t>24894</t>
  </si>
  <si>
    <t>315878</t>
  </si>
  <si>
    <t>NM DIABETES HEALTH PACK 60CT</t>
  </si>
  <si>
    <t>304419</t>
  </si>
  <si>
    <t>26427</t>
  </si>
  <si>
    <t>HRV 16 OZ RNCH SEASON MX</t>
  </si>
  <si>
    <t>330270</t>
  </si>
  <si>
    <t>197157</t>
  </si>
  <si>
    <t>GLAD CLING N SEAL 2PK/800SF</t>
  </si>
  <si>
    <t>347554</t>
  </si>
  <si>
    <t>287479</t>
  </si>
  <si>
    <t>339752</t>
  </si>
  <si>
    <t>KING OSCAR S/B MACKEREL IN OO 6PK 4.05OZ</t>
  </si>
  <si>
    <t>233606</t>
  </si>
  <si>
    <t>290821</t>
  </si>
  <si>
    <t>DASH GARLIC &amp; HERB 10 OZ</t>
  </si>
  <si>
    <t>57115</t>
  </si>
  <si>
    <t>28178</t>
  </si>
  <si>
    <t>325241</t>
  </si>
  <si>
    <t>201090097</t>
  </si>
  <si>
    <t>R2E DESSERTS</t>
  </si>
  <si>
    <t>910313</t>
  </si>
  <si>
    <t>CHILLED DESSERTS</t>
  </si>
  <si>
    <t>345544</t>
  </si>
  <si>
    <t>348029</t>
  </si>
  <si>
    <t>GAIN POWDER ORIGINAL 195 LOADS, 180OZ</t>
  </si>
  <si>
    <t>275185003</t>
  </si>
  <si>
    <t>338332</t>
  </si>
  <si>
    <t>ALWAYS ULTRA THIN PADS, SIZE 4, 80 CT.</t>
  </si>
  <si>
    <t>275185011</t>
  </si>
  <si>
    <t>PICK N' PACK, SCOOPS/CHEETCRNCH</t>
  </si>
  <si>
    <t>338320</t>
  </si>
  <si>
    <t>102010029</t>
  </si>
  <si>
    <t>INTERNATIONAL FOODS</t>
  </si>
  <si>
    <t>910077</t>
  </si>
  <si>
    <t>HISPANIC</t>
  </si>
  <si>
    <t>264530</t>
  </si>
  <si>
    <t>29498</t>
  </si>
  <si>
    <t>265423</t>
  </si>
  <si>
    <t>264170</t>
  </si>
  <si>
    <t>SUNBERRY FARMS ORGANIC MANGO 2PK/128OZ</t>
  </si>
  <si>
    <t>24056</t>
  </si>
  <si>
    <t>JD TURKEY LINKS 38.4OZ, 48CT</t>
  </si>
  <si>
    <t>910293</t>
  </si>
  <si>
    <t>SAUSAGE</t>
  </si>
  <si>
    <t>300403</t>
  </si>
  <si>
    <t>31637</t>
  </si>
  <si>
    <t>NATURE MADE VIT C GUMMIES</t>
  </si>
  <si>
    <t>353842</t>
  </si>
  <si>
    <t>HIDDEN VALLEY ORIG RANCH 6/2X40</t>
  </si>
  <si>
    <t>340878</t>
  </si>
  <si>
    <t>52430</t>
  </si>
  <si>
    <t>910831</t>
  </si>
  <si>
    <t>ENHANCED WATER</t>
  </si>
  <si>
    <t>167701</t>
  </si>
  <si>
    <t>NM IRON 65MG 365CT</t>
  </si>
  <si>
    <t>338760</t>
  </si>
  <si>
    <t>338397</t>
  </si>
  <si>
    <t>346631</t>
  </si>
  <si>
    <t>GILLETTELABS NFL PATRIOTS H + 8 REFILLS</t>
  </si>
  <si>
    <t>326640</t>
  </si>
  <si>
    <t>343330</t>
  </si>
  <si>
    <t>344580</t>
  </si>
  <si>
    <t>122356</t>
  </si>
  <si>
    <t>GOODNITES BOY TRAINING PANT XS 44CT</t>
  </si>
  <si>
    <t>347567</t>
  </si>
  <si>
    <t>329700</t>
  </si>
  <si>
    <t>144712</t>
  </si>
  <si>
    <t>229032</t>
  </si>
  <si>
    <t>CHINET CUT CRYSTAL 10" PLATE 25CT</t>
  </si>
  <si>
    <t>702247</t>
  </si>
  <si>
    <t>BIOTRUE LENS SOLUTION 2X16OZ</t>
  </si>
  <si>
    <t>323495</t>
  </si>
  <si>
    <t>TRES EXTRA HOLD MOUSSE 2/15OZ</t>
  </si>
  <si>
    <t>287131</t>
  </si>
  <si>
    <t>101106</t>
  </si>
  <si>
    <t>322491</t>
  </si>
  <si>
    <t>286163</t>
  </si>
  <si>
    <t>PANTENE PRO-V MOISTURE SHAMPOO 36.2 OZ</t>
  </si>
  <si>
    <t>28327</t>
  </si>
  <si>
    <t>BELGIO MOZZARELLA BALL 3/8OZ</t>
  </si>
  <si>
    <t>12897</t>
  </si>
  <si>
    <t>351258</t>
  </si>
  <si>
    <t>NEXXUS THERAPPE SH 43OZ</t>
  </si>
  <si>
    <t>315843</t>
  </si>
  <si>
    <t>11033</t>
  </si>
  <si>
    <t>307112</t>
  </si>
  <si>
    <t>910497</t>
  </si>
  <si>
    <t>CAT TREATS</t>
  </si>
  <si>
    <t>9191</t>
  </si>
  <si>
    <t>302292</t>
  </si>
  <si>
    <t>26911</t>
  </si>
  <si>
    <t>981018</t>
  </si>
  <si>
    <t>WF PF COD FILLET VSP</t>
  </si>
  <si>
    <t>29574</t>
  </si>
  <si>
    <t>910266</t>
  </si>
  <si>
    <t>GARLIC</t>
  </si>
  <si>
    <t>21247</t>
  </si>
  <si>
    <t>NM MULTI FOR HIM 300CT</t>
  </si>
  <si>
    <t>331447</t>
  </si>
  <si>
    <t>340497</t>
  </si>
  <si>
    <t>HUGGIES SKIN ESSENTAILS  SIZE 1 184CT</t>
  </si>
  <si>
    <t>338506</t>
  </si>
  <si>
    <t>FARM RICH LOADED POTATO SKINS</t>
  </si>
  <si>
    <t>620698</t>
  </si>
  <si>
    <t>PRILOSEC OTC 20 MG 42 CT</t>
  </si>
  <si>
    <t>302060154</t>
  </si>
  <si>
    <t>DIGESTIVE REMEDIES</t>
  </si>
  <si>
    <t>910476</t>
  </si>
  <si>
    <t>STOMACH REMEDIES</t>
  </si>
  <si>
    <t>24133</t>
  </si>
  <si>
    <t>87465</t>
  </si>
  <si>
    <t>323231</t>
  </si>
  <si>
    <t>347509</t>
  </si>
  <si>
    <t>POCKY ASSORT PACK 1.41OZ/12PK</t>
  </si>
  <si>
    <t>910089</t>
  </si>
  <si>
    <t>CHOCOLATE CANDY</t>
  </si>
  <si>
    <t>275185005</t>
  </si>
  <si>
    <t>PICK N' PACK, LAYS TOSTITOS</t>
  </si>
  <si>
    <t>57166</t>
  </si>
  <si>
    <t>329485</t>
  </si>
  <si>
    <t>NM B-12 GUMMIES XTRA STRENGTH 160CT</t>
  </si>
  <si>
    <t>306374</t>
  </si>
  <si>
    <t>202010103</t>
  </si>
  <si>
    <t>FROZEN TREATS</t>
  </si>
  <si>
    <t>910333</t>
  </si>
  <si>
    <t>ICE CREAM</t>
  </si>
  <si>
    <t>66111</t>
  </si>
  <si>
    <t>PULL-UPS GIRL TRAINING PANT 3T-4T 116CT</t>
  </si>
  <si>
    <t>251816</t>
  </si>
  <si>
    <t>101080</t>
  </si>
  <si>
    <t>299512</t>
  </si>
  <si>
    <t>324921</t>
  </si>
  <si>
    <t>33208</t>
  </si>
  <si>
    <t>NATURE MADE VIT D 2X300CT</t>
  </si>
  <si>
    <t>315844</t>
  </si>
  <si>
    <t>NATURE MADE COQ10 400MG</t>
  </si>
  <si>
    <t>136154</t>
  </si>
  <si>
    <t>910092</t>
  </si>
  <si>
    <t>INDULGENT CHOCOLATE</t>
  </si>
  <si>
    <t>319726</t>
  </si>
  <si>
    <t>VENUS WHITE TEA CARTS 12CT HANDLE</t>
  </si>
  <si>
    <t>12182</t>
  </si>
  <si>
    <t>34444</t>
  </si>
  <si>
    <t>332966</t>
  </si>
  <si>
    <t>NEXXUS CLEAN &amp; PURE 2/32 OZ SH/CD</t>
  </si>
  <si>
    <t>673577</t>
  </si>
  <si>
    <t>NEXXUS COMB THRU SPRAY</t>
  </si>
  <si>
    <t>351852</t>
  </si>
  <si>
    <t>FRESH STEP ODOR SHIELD 42LB</t>
  </si>
  <si>
    <t>90841</t>
  </si>
  <si>
    <t>SILK ALMOND UNSWT ORIG 2/64</t>
  </si>
  <si>
    <t>338441</t>
  </si>
  <si>
    <t>IDAHOAN RSTED GRLIC MSHD PTATOES 8CT 4OZ</t>
  </si>
  <si>
    <t>275185004</t>
  </si>
  <si>
    <t>315841</t>
  </si>
  <si>
    <t>NM MAGNESIUM CITRATE GUMMIES 200MG 120CT</t>
  </si>
  <si>
    <t>297211</t>
  </si>
  <si>
    <t>NEXXUS HUMECTRESS CONDITIONER 42 OZ</t>
  </si>
  <si>
    <t>322231</t>
  </si>
  <si>
    <t>GAYO AZUL RED WAX GOUDA 16OZ</t>
  </si>
  <si>
    <t>306185</t>
  </si>
  <si>
    <t>910459</t>
  </si>
  <si>
    <t>CHILDRENS REMEDIES</t>
  </si>
  <si>
    <t>243485</t>
  </si>
  <si>
    <t>300692</t>
  </si>
  <si>
    <t>SF CHICKEN CORDON BLEU BITE 24 OZ</t>
  </si>
  <si>
    <t>227666</t>
  </si>
  <si>
    <t>NEURIVA BRAIN SUPPORT 42CT</t>
  </si>
  <si>
    <t>79068</t>
  </si>
  <si>
    <t>290822</t>
  </si>
  <si>
    <t>284980</t>
  </si>
  <si>
    <t>314003</t>
  </si>
  <si>
    <t>13525</t>
  </si>
  <si>
    <t>297705</t>
  </si>
  <si>
    <t>319203</t>
  </si>
  <si>
    <t>30678</t>
  </si>
  <si>
    <t>37123</t>
  </si>
  <si>
    <t>306423</t>
  </si>
  <si>
    <t>PULL-UPS GIRL TRAINING PANT 5T-6T 84CT</t>
  </si>
  <si>
    <t>346045</t>
  </si>
  <si>
    <t>GILLETTE CG SUPREME CW APDO, 5PK/3.8OZ</t>
  </si>
  <si>
    <t>335416</t>
  </si>
  <si>
    <t>294225</t>
  </si>
  <si>
    <t>344073</t>
  </si>
  <si>
    <t>346061</t>
  </si>
  <si>
    <t>NM MAGNESIUM GLYCINATE CAPSULES 110CT</t>
  </si>
  <si>
    <t>339391</t>
  </si>
  <si>
    <t>VENUS MOISTUREGLIDE RAZOR + 10 BLADES</t>
  </si>
  <si>
    <t>299510</t>
  </si>
  <si>
    <t>NATURE MADE MULTI FOR HER GUMMIES 220 CT</t>
  </si>
  <si>
    <t>78986</t>
  </si>
  <si>
    <t>PANERA 48OZ CREAMY TOMATO</t>
  </si>
  <si>
    <t>326197</t>
  </si>
  <si>
    <t>221429</t>
  </si>
  <si>
    <t>910447</t>
  </si>
  <si>
    <t>DENTAL CARE</t>
  </si>
  <si>
    <t>348154</t>
  </si>
  <si>
    <t>322426</t>
  </si>
  <si>
    <t>910828</t>
  </si>
  <si>
    <t>ICED COFFEE</t>
  </si>
  <si>
    <t>332971</t>
  </si>
  <si>
    <t>342154</t>
  </si>
  <si>
    <t>910853</t>
  </si>
  <si>
    <t>PROACTIVE HEALTH YOGURT</t>
  </si>
  <si>
    <t>702069</t>
  </si>
  <si>
    <t>NM ODORLESS 250/1200MG</t>
  </si>
  <si>
    <t>342644</t>
  </si>
  <si>
    <t>337731</t>
  </si>
  <si>
    <t>337401</t>
  </si>
  <si>
    <t>HUGGIES LITTLE MOVER DIAPER SZ 7 96CT</t>
  </si>
  <si>
    <t>79042</t>
  </si>
  <si>
    <t>PANERA 48OZ CHKN TRTLLA SOUP</t>
  </si>
  <si>
    <t>984425</t>
  </si>
  <si>
    <t>17218</t>
  </si>
  <si>
    <t>BERTOLLI 3/15Z ALFREDO SAUCE</t>
  </si>
  <si>
    <t>265722</t>
  </si>
  <si>
    <t>256845</t>
  </si>
  <si>
    <t>24132</t>
  </si>
  <si>
    <t>313744</t>
  </si>
  <si>
    <t>315879</t>
  </si>
  <si>
    <t>299967</t>
  </si>
  <si>
    <t>OLAY NIACINAMIDE MOISTURIZER 1.7OZ 2PK</t>
  </si>
  <si>
    <t>25015</t>
  </si>
  <si>
    <t>GALBANI  2 LB  CHUNK MZZERLL</t>
  </si>
  <si>
    <t>41116</t>
  </si>
  <si>
    <t>346049</t>
  </si>
  <si>
    <t>337601</t>
  </si>
  <si>
    <t>30506</t>
  </si>
  <si>
    <t>264246</t>
  </si>
  <si>
    <t>239746</t>
  </si>
  <si>
    <t>275185008</t>
  </si>
  <si>
    <t>684723</t>
  </si>
  <si>
    <t>294655</t>
  </si>
  <si>
    <t>NM VITAMIN B12 GUMMIES 160CT</t>
  </si>
  <si>
    <t>702410</t>
  </si>
  <si>
    <t>NM VIT D3 2000 IU 320CT</t>
  </si>
  <si>
    <t>343933</t>
  </si>
  <si>
    <t>SMART HARVEST MEDITERRANEAN MEDLEY 48OZ</t>
  </si>
  <si>
    <t>66079</t>
  </si>
  <si>
    <t>PULL-UPS BOY TRAINING PANT 4T-5T 102CT</t>
  </si>
  <si>
    <t>275517</t>
  </si>
  <si>
    <t>280885</t>
  </si>
  <si>
    <t>243814</t>
  </si>
  <si>
    <t>OLAY REGEN RETINOL NIGHT MOIST 1.7OZ 2PK</t>
  </si>
  <si>
    <t>335073</t>
  </si>
  <si>
    <t>ENERGIZER MAX C 14PK</t>
  </si>
  <si>
    <t>160685</t>
  </si>
  <si>
    <t>BELGIOIOSO MOZZARELLA PEARLS 24OZ</t>
  </si>
  <si>
    <t>242548</t>
  </si>
  <si>
    <t>GILLETTE FUSION 5 16CT</t>
  </si>
  <si>
    <t>264248</t>
  </si>
  <si>
    <t>GOODNITES GIRL TRAINING PANT XL 46CT</t>
  </si>
  <si>
    <t>308854</t>
  </si>
  <si>
    <t>LATEST_MBRSHP_FEE_INC</t>
  </si>
  <si>
    <t>LATEST_MBRSHP_ENR_DT</t>
  </si>
  <si>
    <t>LATEST_MBRSHP_EXP_DT</t>
  </si>
  <si>
    <t>LATEST_MBRSHP_RNWL_DT</t>
  </si>
  <si>
    <t>TENURE</t>
  </si>
  <si>
    <t>48.434325</t>
  </si>
  <si>
    <t>1994-01-02</t>
  </si>
  <si>
    <t>2019-03-04</t>
  </si>
  <si>
    <t>2025-12-25</t>
  </si>
  <si>
    <t>2025-12-31</t>
  </si>
  <si>
    <t>2030-02-01</t>
  </si>
  <si>
    <t>2027-05-31</t>
  </si>
  <si>
    <t>2024-10-19</t>
  </si>
  <si>
    <t>2025-07-18</t>
  </si>
  <si>
    <t>2026-02-16</t>
  </si>
  <si>
    <t>48.352524</t>
  </si>
  <si>
    <t>1994-02-25</t>
  </si>
  <si>
    <t>2019-03-08</t>
  </si>
  <si>
    <t>2025-12-24</t>
  </si>
  <si>
    <t>2029-09-10</t>
  </si>
  <si>
    <t>2027-04-30</t>
  </si>
  <si>
    <t>2024-10-22</t>
  </si>
  <si>
    <t>2025-07-19</t>
  </si>
  <si>
    <t>48.428108</t>
  </si>
  <si>
    <t>1994-03-17</t>
  </si>
  <si>
    <t>2019-03-06</t>
  </si>
  <si>
    <t>2030-06-07</t>
  </si>
  <si>
    <t>2024-10-21</t>
  </si>
  <si>
    <t>2026-02-15</t>
  </si>
  <si>
    <t>48.391653</t>
  </si>
  <si>
    <t>1994-02-11</t>
  </si>
  <si>
    <t>2019-03-01</t>
  </si>
  <si>
    <t>2029-11-28</t>
  </si>
  <si>
    <t>2027-06-30</t>
  </si>
  <si>
    <t>69.649886</t>
  </si>
  <si>
    <t>1991-01-12</t>
  </si>
  <si>
    <t>2015-10-23</t>
  </si>
  <si>
    <t>2025-12-17</t>
  </si>
  <si>
    <t>2026-03-31</t>
  </si>
  <si>
    <t>2027-11-02</t>
  </si>
  <si>
    <t>2027-03-31</t>
  </si>
  <si>
    <t>2025-01-30</t>
  </si>
  <si>
    <t>2025-08-17</t>
  </si>
  <si>
    <t>2026-02-17</t>
  </si>
  <si>
    <t>55.555556</t>
  </si>
  <si>
    <t>1987-01-10</t>
  </si>
  <si>
    <t>2008-03-31</t>
  </si>
  <si>
    <t>2021-02-06</t>
  </si>
  <si>
    <t>2026-04-30</t>
  </si>
  <si>
    <t>2031-07-15</t>
  </si>
  <si>
    <t>2045-01-31</t>
  </si>
  <si>
    <t>1995-09-07</t>
  </si>
  <si>
    <t>2022-03-26</t>
  </si>
  <si>
    <t>2025-12-23</t>
  </si>
  <si>
    <t>pct</t>
  </si>
  <si>
    <t>LATEST_RWDS_MBR_IND</t>
  </si>
  <si>
    <t>LATEST_MBRSHP_TYPE_ID</t>
  </si>
  <si>
    <t>LATEST_MBRSHP_SUB_TYPE</t>
  </si>
  <si>
    <t>team_mbr</t>
  </si>
  <si>
    <t>trial</t>
  </si>
  <si>
    <t>AM_stat_cd</t>
  </si>
  <si>
    <t>gas_52w</t>
  </si>
  <si>
    <t>gas_club</t>
  </si>
  <si>
    <t>gas52_or_club</t>
  </si>
  <si>
    <t>ez_renewal</t>
  </si>
  <si>
    <t>D</t>
  </si>
  <si>
    <t>E</t>
  </si>
  <si>
    <t>N</t>
  </si>
  <si>
    <t>P</t>
  </si>
  <si>
    <t>Y</t>
  </si>
  <si>
    <t>S</t>
  </si>
  <si>
    <t>L26W_ATC_CPN_RED</t>
  </si>
  <si>
    <t>L_FIFTY-TWOW_GAS_TRIPS</t>
  </si>
  <si>
    <t>L_TWELVEW_GAS_TRIPS</t>
  </si>
  <si>
    <t>LFIFTY-TWOW_SPEND_IN_STORE</t>
  </si>
  <si>
    <t>LTWELVEW_SPEND_IN_STORE</t>
  </si>
  <si>
    <t>Percentage of Members Qualifying for Targeting</t>
  </si>
  <si>
    <t>prct</t>
  </si>
  <si>
    <t>LATEST_AUTO_RNWL_IND</t>
  </si>
  <si>
    <t>BJ's App</t>
  </si>
  <si>
    <t>EZ Renewal</t>
  </si>
  <si>
    <t>Rewards Upgrade</t>
  </si>
  <si>
    <t>Credit Card</t>
  </si>
  <si>
    <t>Same Day Delivery</t>
  </si>
  <si>
    <t>has_quotient_id</t>
  </si>
  <si>
    <t>O</t>
  </si>
  <si>
    <t>Q</t>
  </si>
  <si>
    <t>Content</t>
  </si>
  <si>
    <t>Targeting Strategy</t>
  </si>
  <si>
    <t>Relevant DNA Fields</t>
  </si>
  <si>
    <t>Members who have not signed up for BJ's App</t>
  </si>
  <si>
    <t>[HAS_QUOTIENT_ID] = 0                        _x000D_
[L26W_ATC_CPN_RED] = 0</t>
  </si>
  <si>
    <t>Members not enrolled in EZ and not opted out;                        3+ months to DTR</t>
  </si>
  <si>
    <t>[LATEST_AUTO_RNWL_IND] = N, O, or Q                        _x000D_
[LATEST_MBRSHP_EXP_DT] &gt; 90 + In-home Date</t>
  </si>
  <si>
    <t>IC / Plus who spend $1.5K - $3.5K in-club last 52W,                        or last 12W equivalent</t>
  </si>
  <si>
    <t>[RWDS_MBR_IND] = N or P                         _x000D_
[LFIFTY-TWOW_SPEND_IN_STORE]                        between 1.5K and 3.5K                        _x000D_
        or [LTWELVEW_SPEND_IN_STORE]                         between 400 and 900</t>
  </si>
  <si>
    <t>IC/Rewards Members who spend $1.5K over last 52W in                        club or 10+ gas trips, or last 12W equivalent</t>
  </si>
  <si>
    <t>[RWDS_MBR_IND] = Y or N                        _x000D_
[LFIFTY_TWOW_SPEND_IN_STORE] &gt;= 1.5K                        _x000D_
    or [LTWELVEW_SPEND_IN_STORE] &gt;= 400                         _x000D_
    or [L_FIFTY-TWOW_GAS TRIPS] &gt;= 10                        _x000D_
    or [L_TWELVEW_GAS TRIPS] &gt; 2</t>
  </si>
  <si>
    <t>Members who qualify for same day delivery</t>
  </si>
  <si>
    <t>zip code in list                        _x000D_
[HAS_QUOTIENT_ID] = 1</t>
  </si>
  <si>
    <t>S3</t>
  </si>
  <si>
    <t>DB</t>
  </si>
  <si>
    <t>cell_id</t>
  </si>
  <si>
    <t>cpn_type</t>
  </si>
  <si>
    <t>slot_nbr</t>
  </si>
  <si>
    <t>is_backfill</t>
  </si>
  <si>
    <t>count(1)</t>
  </si>
  <si>
    <t>count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</si>
</sst>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"/>
    <numFmt numFmtId="166" formatCode="#,##0.00000"/>
    <numFmt numFmtId="167" formatCode="#,##0.000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22E46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rgb="FFC22E4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top" wrapText="1"/>
    </xf>
    <xf numFmtId="3" fontId="0" fillId="0" borderId="0" xfId="0" applyNumberFormat="1"/>
    <xf numFmtId="4" fontId="0" fillId="0" borderId="0" xfId="0" applyNumberFormat="1"/>
    <xf numFmtId="3" fontId="0" fillId="0" borderId="2" xfId="0" applyNumberFormat="1" applyBorder="1"/>
    <xf numFmtId="4" fontId="0" fillId="0" borderId="2" xfId="0" applyNumberFormat="1" applyBorder="1"/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3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13"/>
  <sheetViews>
    <sheetView workbookViewId="0"/>
  </sheetViews>
  <sheetFormatPr defaultRowHeight="15" x14ac:dyDescent="0.25"/>
  <cols>
    <col min="1" max="1" width="64.42578125" customWidth="1"/>
    <col min="2" max="2" width="28.28515625" customWidth="1"/>
  </cols>
  <sheetData>
    <row r="4" spans="1:2" ht="18" x14ac:dyDescent="0.35">
      <c r="A4" s="1" t="s">
        <v>0</v>
      </c>
      <c r="B4" s="1">
        <v>8114074</v>
      </c>
    </row>
    <row r="5" spans="1:2" ht="18" x14ac:dyDescent="0.35">
      <c r="A5" s="1" t="s">
        <v>1</v>
      </c>
      <c r="B5" s="1" t="s">
        <v>2</v>
      </c>
    </row>
    <row r="6" spans="1:2" ht="18" x14ac:dyDescent="0.35">
      <c r="A6" s="1" t="s">
        <v>3</v>
      </c>
      <c r="B6" s="1" t="s">
        <v>2</v>
      </c>
    </row>
    <row r="7" spans="1:2" ht="18" x14ac:dyDescent="0.35">
      <c r="A7" s="1" t="s">
        <v>4</v>
      </c>
      <c r="B7" s="1" t="s">
        <v>5</v>
      </c>
    </row>
    <row r="8" spans="1:2" ht="18" x14ac:dyDescent="0.35">
      <c r="A8" s="1" t="s">
        <v>6</v>
      </c>
      <c r="B8" s="1" t="s">
        <v>7</v>
      </c>
    </row>
    <row r="9" spans="1:2" ht="18" x14ac:dyDescent="0.35">
      <c r="A9" s="1" t="s">
        <v>8</v>
      </c>
      <c r="B9" s="1" t="s">
        <v>7</v>
      </c>
    </row>
    <row r="10" spans="1:2" ht="18" x14ac:dyDescent="0.35">
      <c r="A10" s="1" t="s">
        <v>9</v>
      </c>
      <c r="B10" s="1" t="s">
        <v>7</v>
      </c>
    </row>
    <row r="11" spans="1:2" ht="18" x14ac:dyDescent="0.35">
      <c r="A11" s="1" t="s">
        <v>10</v>
      </c>
      <c r="B11" s="1" t="s">
        <v>7</v>
      </c>
    </row>
    <row r="12" spans="1:2" ht="18" x14ac:dyDescent="0.35">
      <c r="A12" s="1" t="s">
        <v>11</v>
      </c>
      <c r="B12" s="1" t="s">
        <v>7</v>
      </c>
    </row>
    <row r="13" spans="1:2" ht="18" x14ac:dyDescent="0.35">
      <c r="A13" s="1" t="s">
        <v>12</v>
      </c>
      <c r="B13" s="1" t="s">
        <v>2</v>
      </c>
    </row>
  </sheetData>
  <conditionalFormatting sqref="B1:B99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workbookViewId="0"/>
  </sheetViews>
  <sheetFormatPr defaultRowHeight="15" x14ac:dyDescent="0.25"/>
  <cols>
    <col min="1" max="1" width="9.42578125" customWidth="1"/>
    <col min="2" max="2" width="30.7109375" customWidth="1"/>
    <col min="3" max="3" width="9.42578125" customWidth="1"/>
    <col min="4" max="4" width="19.42578125" customWidth="1"/>
    <col min="5" max="5" width="14.42578125" customWidth="1"/>
    <col min="6" max="6" width="17" customWidth="1"/>
    <col min="7" max="7" width="19.42578125" customWidth="1"/>
    <col min="8" max="12" width="23.28515625" customWidth="1"/>
    <col min="13" max="13" width="22" customWidth="1"/>
    <col min="14" max="15" width="23.28515625" customWidth="1"/>
  </cols>
  <sheetData>
    <row r="1" spans="1:15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 x14ac:dyDescent="0.25">
      <c r="A2" t="s">
        <v>28</v>
      </c>
      <c r="B2" t="s">
        <v>29</v>
      </c>
      <c r="C2" s="3">
        <v>261707</v>
      </c>
      <c r="E2" s="3">
        <v>3140484</v>
      </c>
      <c r="F2" s="4">
        <v>12</v>
      </c>
      <c r="G2" s="3">
        <v>0</v>
      </c>
      <c r="H2" s="4">
        <v>22.87752333716714</v>
      </c>
      <c r="I2" s="4">
        <v>116.2295199047705</v>
      </c>
      <c r="J2" s="4">
        <v>191.94591562319701</v>
      </c>
      <c r="K2" s="4">
        <v>226.43551886010059</v>
      </c>
      <c r="L2" s="4">
        <v>612.96302383963734</v>
      </c>
      <c r="M2" s="4">
        <v>612.07076614888706</v>
      </c>
      <c r="N2" s="4">
        <v>2659.043554089119</v>
      </c>
      <c r="O2" s="4">
        <v>2403.3451139482431</v>
      </c>
    </row>
    <row r="3" spans="1:15" x14ac:dyDescent="0.25">
      <c r="A3" t="s">
        <v>30</v>
      </c>
      <c r="B3" t="s">
        <v>31</v>
      </c>
      <c r="C3" s="3">
        <v>255562</v>
      </c>
      <c r="E3" s="3">
        <v>3066744</v>
      </c>
      <c r="F3" s="4">
        <v>12</v>
      </c>
      <c r="G3" s="3">
        <v>0</v>
      </c>
      <c r="H3" s="4">
        <v>22.87435925528834</v>
      </c>
      <c r="I3" s="4">
        <v>116.2996184536738</v>
      </c>
      <c r="J3" s="4">
        <v>191.63860546560139</v>
      </c>
      <c r="K3" s="4">
        <v>226.05354045929809</v>
      </c>
      <c r="L3" s="4">
        <v>611.77239930036524</v>
      </c>
      <c r="M3" s="4">
        <v>610.69217740406509</v>
      </c>
      <c r="N3" s="4">
        <v>2660.2792537622968</v>
      </c>
      <c r="O3" s="4">
        <v>2404.1404070037102</v>
      </c>
    </row>
    <row r="4" spans="1:15" x14ac:dyDescent="0.25">
      <c r="A4" t="s">
        <v>32</v>
      </c>
      <c r="B4" t="s">
        <v>33</v>
      </c>
      <c r="C4" s="3">
        <v>255564</v>
      </c>
      <c r="E4" s="3">
        <v>3066768</v>
      </c>
      <c r="F4" s="4">
        <v>12</v>
      </c>
      <c r="G4" s="3">
        <v>0</v>
      </c>
      <c r="H4" s="4">
        <v>22.928671487376938</v>
      </c>
      <c r="I4" s="4">
        <v>115.88556008685011</v>
      </c>
      <c r="J4" s="4">
        <v>191.954607299933</v>
      </c>
      <c r="K4" s="4">
        <v>226.70426185960011</v>
      </c>
      <c r="L4" s="4">
        <v>612.94196850886624</v>
      </c>
      <c r="M4" s="4">
        <v>612.53139638029302</v>
      </c>
      <c r="N4" s="4">
        <v>2657.1019373620679</v>
      </c>
      <c r="O4" s="4">
        <v>2403.7902661944522</v>
      </c>
    </row>
    <row r="5" spans="1:15" x14ac:dyDescent="0.25">
      <c r="A5" t="s">
        <v>34</v>
      </c>
      <c r="B5" t="s">
        <v>35</v>
      </c>
      <c r="C5" s="3">
        <v>253008</v>
      </c>
      <c r="E5" s="3">
        <v>3036096</v>
      </c>
      <c r="F5" s="4">
        <v>12</v>
      </c>
      <c r="G5" s="3">
        <v>0</v>
      </c>
      <c r="H5" s="4">
        <v>22.917417631063049</v>
      </c>
      <c r="I5" s="4">
        <v>116.0271360814999</v>
      </c>
      <c r="J5" s="4">
        <v>191.57558792607341</v>
      </c>
      <c r="K5" s="4">
        <v>226.09388088521209</v>
      </c>
      <c r="L5" s="4">
        <v>612.88663722095782</v>
      </c>
      <c r="M5" s="4">
        <v>612.4481648929069</v>
      </c>
      <c r="N5" s="4">
        <v>2659.0423341159171</v>
      </c>
      <c r="O5" s="4">
        <v>2405.3710412766932</v>
      </c>
    </row>
    <row r="6" spans="1:15" x14ac:dyDescent="0.25">
      <c r="A6" t="s">
        <v>36</v>
      </c>
      <c r="B6" t="s">
        <v>37</v>
      </c>
      <c r="C6" s="3">
        <v>989831</v>
      </c>
      <c r="E6" s="3">
        <v>11877972</v>
      </c>
      <c r="F6" s="4">
        <v>12</v>
      </c>
      <c r="G6" s="3">
        <v>0</v>
      </c>
      <c r="H6" s="4">
        <v>23.421794225478891</v>
      </c>
      <c r="I6" s="4">
        <v>102.63321579228941</v>
      </c>
      <c r="J6" s="4">
        <v>181.11761230957609</v>
      </c>
      <c r="K6" s="4">
        <v>202.6487750144131</v>
      </c>
      <c r="L6" s="4">
        <v>567.67626985818754</v>
      </c>
      <c r="M6" s="4">
        <v>519.84687425159063</v>
      </c>
      <c r="N6" s="4">
        <v>2403.854060986173</v>
      </c>
      <c r="O6" s="4">
        <v>2042.6615356344489</v>
      </c>
    </row>
    <row r="7" spans="1:15" x14ac:dyDescent="0.25">
      <c r="A7" t="s">
        <v>38</v>
      </c>
      <c r="B7" t="s">
        <v>39</v>
      </c>
      <c r="C7" s="3">
        <v>27</v>
      </c>
      <c r="E7" s="3">
        <v>324</v>
      </c>
      <c r="F7" s="4">
        <v>12</v>
      </c>
      <c r="G7" s="3">
        <v>0</v>
      </c>
      <c r="H7" s="4">
        <v>33.037037037037038</v>
      </c>
      <c r="I7" s="4">
        <v>136.42745515695071</v>
      </c>
      <c r="J7" s="4">
        <v>309.9218518518519</v>
      </c>
      <c r="K7" s="4">
        <v>272.05023216928493</v>
      </c>
      <c r="L7" s="4">
        <v>1120.9529629629631</v>
      </c>
      <c r="M7" s="4">
        <v>771.31747492802515</v>
      </c>
      <c r="N7" s="4">
        <v>4507.1588888888882</v>
      </c>
      <c r="O7" s="4">
        <v>2901.7711293043271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2" max="2" width="9.140625" style="3"/>
    <col min="3" max="3" width="9.140625" style="5"/>
    <col min="4" max="6" width="9.140625" style="4"/>
    <col min="7" max="7" width="9.140625" style="5"/>
    <col min="8" max="10" width="9.140625" style="4"/>
    <col min="11" max="11" width="9.140625" style="5"/>
    <col min="12" max="14" width="9.140625" style="4"/>
    <col min="15" max="15" width="9.140625" style="5"/>
    <col min="16" max="18" width="9.140625" style="4"/>
    <col min="19" max="19" width="9.140625" style="5"/>
    <col min="20" max="22" width="9.140625" style="4"/>
    <col min="23" max="23" width="9.140625" style="6"/>
    <col min="24" max="27" width="9.140625" style="4"/>
  </cols>
  <sheetData>
    <row r="1" spans="1:27" x14ac:dyDescent="0.25">
      <c r="A1" s="7"/>
      <c r="B1" s="7"/>
      <c r="C1" s="16" t="s">
        <v>40</v>
      </c>
      <c r="D1" s="16"/>
      <c r="E1" s="16"/>
      <c r="F1" s="16"/>
      <c r="G1" s="16" t="s">
        <v>41</v>
      </c>
      <c r="H1" s="16"/>
      <c r="I1" s="16"/>
      <c r="J1" s="16"/>
      <c r="K1" s="16" t="s">
        <v>42</v>
      </c>
      <c r="L1" s="16"/>
      <c r="M1" s="16"/>
      <c r="N1" s="16"/>
      <c r="O1" s="16" t="s">
        <v>43</v>
      </c>
      <c r="P1" s="16"/>
      <c r="Q1" s="16"/>
      <c r="R1" s="16"/>
      <c r="S1" s="16" t="s">
        <v>44</v>
      </c>
      <c r="T1" s="16"/>
      <c r="U1" s="16"/>
      <c r="V1" s="16"/>
      <c r="W1" s="16" t="s">
        <v>45</v>
      </c>
      <c r="X1" s="16"/>
      <c r="Y1" s="16"/>
      <c r="Z1" s="16"/>
      <c r="AA1" s="16"/>
    </row>
    <row r="2" spans="1:27" ht="30" x14ac:dyDescent="0.25">
      <c r="A2" s="9" t="s">
        <v>46</v>
      </c>
      <c r="B2" s="9" t="s">
        <v>47</v>
      </c>
      <c r="C2" s="10" t="s">
        <v>48</v>
      </c>
      <c r="D2" s="9" t="s">
        <v>49</v>
      </c>
      <c r="E2" s="9" t="s">
        <v>50</v>
      </c>
      <c r="F2" s="9" t="s">
        <v>51</v>
      </c>
      <c r="G2" s="10" t="s">
        <v>48</v>
      </c>
      <c r="H2" s="9" t="s">
        <v>49</v>
      </c>
      <c r="I2" s="9" t="s">
        <v>50</v>
      </c>
      <c r="J2" s="9" t="s">
        <v>51</v>
      </c>
      <c r="K2" s="10" t="s">
        <v>48</v>
      </c>
      <c r="L2" s="9" t="s">
        <v>49</v>
      </c>
      <c r="M2" s="9" t="s">
        <v>50</v>
      </c>
      <c r="N2" s="9" t="s">
        <v>51</v>
      </c>
      <c r="O2" s="10" t="s">
        <v>48</v>
      </c>
      <c r="P2" s="9" t="s">
        <v>49</v>
      </c>
      <c r="Q2" s="9" t="s">
        <v>50</v>
      </c>
      <c r="R2" s="9" t="s">
        <v>51</v>
      </c>
      <c r="S2" s="10" t="s">
        <v>48</v>
      </c>
      <c r="T2" s="9" t="s">
        <v>49</v>
      </c>
      <c r="U2" s="9" t="s">
        <v>50</v>
      </c>
      <c r="V2" s="9" t="s">
        <v>51</v>
      </c>
      <c r="W2" s="10" t="s">
        <v>52</v>
      </c>
      <c r="X2" s="9" t="s">
        <v>53</v>
      </c>
      <c r="Y2" s="9" t="s">
        <v>54</v>
      </c>
      <c r="Z2" s="9" t="s">
        <v>55</v>
      </c>
      <c r="AA2" s="9" t="s">
        <v>56</v>
      </c>
    </row>
    <row r="3" spans="1:27" x14ac:dyDescent="0.25">
      <c r="A3" t="s">
        <v>57</v>
      </c>
      <c r="B3" s="3">
        <v>325</v>
      </c>
      <c r="C3" s="5">
        <v>0</v>
      </c>
      <c r="D3" s="4">
        <v>0</v>
      </c>
      <c r="E3" s="4">
        <v>267.290246153846</v>
      </c>
      <c r="F3" s="4">
        <v>4621.4479999999949</v>
      </c>
      <c r="G3" s="5">
        <v>0</v>
      </c>
      <c r="H3" s="4">
        <v>0</v>
      </c>
      <c r="I3" s="4">
        <v>3.0523076923076919</v>
      </c>
      <c r="J3" s="4">
        <v>43</v>
      </c>
      <c r="K3" s="5">
        <v>140</v>
      </c>
      <c r="L3" s="4">
        <v>0</v>
      </c>
      <c r="M3" s="4">
        <v>91.205405405405401</v>
      </c>
      <c r="N3" s="4">
        <v>713.51999999999987</v>
      </c>
      <c r="O3" s="5">
        <v>0</v>
      </c>
      <c r="P3" s="4">
        <v>0</v>
      </c>
      <c r="Q3" s="4">
        <v>0</v>
      </c>
      <c r="R3" s="4">
        <v>0</v>
      </c>
      <c r="S3" s="5">
        <v>0</v>
      </c>
      <c r="T3" s="4">
        <v>0</v>
      </c>
      <c r="U3" s="4">
        <v>0</v>
      </c>
      <c r="V3" s="4">
        <v>0</v>
      </c>
      <c r="W3" s="6">
        <v>0</v>
      </c>
      <c r="X3" s="4">
        <v>0.2153846153846154</v>
      </c>
      <c r="Y3" s="4">
        <v>6.1538461538461538E-3</v>
      </c>
      <c r="Z3" s="4">
        <v>0.76615384615384619</v>
      </c>
      <c r="AA3" s="4">
        <v>1.2307692307692309E-2</v>
      </c>
    </row>
    <row r="4" spans="1:27" x14ac:dyDescent="0.25">
      <c r="A4" t="s">
        <v>58</v>
      </c>
      <c r="B4" s="3">
        <v>6098050</v>
      </c>
      <c r="C4" s="5">
        <v>9</v>
      </c>
      <c r="D4" s="4">
        <v>0</v>
      </c>
      <c r="E4" s="4">
        <v>1764.714995015612</v>
      </c>
      <c r="F4" s="4">
        <v>11650.415999999979</v>
      </c>
      <c r="G4" s="5">
        <v>9</v>
      </c>
      <c r="H4" s="4">
        <v>0</v>
      </c>
      <c r="I4" s="4">
        <v>14.957576375757389</v>
      </c>
      <c r="J4" s="4">
        <v>97</v>
      </c>
      <c r="K4" s="5">
        <v>492115</v>
      </c>
      <c r="L4" s="4">
        <v>0</v>
      </c>
      <c r="M4" s="4">
        <v>87.04700750187078</v>
      </c>
      <c r="N4" s="4">
        <v>679</v>
      </c>
      <c r="O4" s="5">
        <v>0</v>
      </c>
      <c r="P4" s="4">
        <v>1</v>
      </c>
      <c r="Q4" s="4">
        <v>6.1065153614680101</v>
      </c>
      <c r="R4" s="4">
        <v>10</v>
      </c>
      <c r="S4" s="5">
        <v>0</v>
      </c>
      <c r="T4" s="4">
        <v>1.6E-2</v>
      </c>
      <c r="U4" s="4">
        <v>0.2059946809717855</v>
      </c>
      <c r="V4" s="4">
        <v>0.67669999999999997</v>
      </c>
      <c r="W4" s="6">
        <v>1.47588163429293E-6</v>
      </c>
      <c r="X4" s="4">
        <v>0.45458679413911002</v>
      </c>
      <c r="Y4" s="4">
        <v>3.089676207968121E-3</v>
      </c>
      <c r="Z4" s="4">
        <v>0.5396123350907257</v>
      </c>
      <c r="AA4" s="4">
        <v>2.709718680561819E-3</v>
      </c>
    </row>
    <row r="5" spans="1:27" x14ac:dyDescent="0.25">
      <c r="A5" t="s">
        <v>59</v>
      </c>
      <c r="B5" s="3">
        <v>2015699</v>
      </c>
      <c r="C5" s="5">
        <v>0</v>
      </c>
      <c r="D5" s="4">
        <v>0</v>
      </c>
      <c r="E5" s="4">
        <v>2666.0531528020829</v>
      </c>
      <c r="F5" s="4">
        <v>12082.2412</v>
      </c>
      <c r="G5" s="5">
        <v>0</v>
      </c>
      <c r="H5" s="4">
        <v>0</v>
      </c>
      <c r="I5" s="4">
        <v>24.27093231677944</v>
      </c>
      <c r="J5" s="4">
        <v>110</v>
      </c>
      <c r="K5" s="5">
        <v>23346</v>
      </c>
      <c r="L5" s="4">
        <v>0</v>
      </c>
      <c r="M5" s="4">
        <v>37.356284252840737</v>
      </c>
      <c r="N5" s="4">
        <v>427</v>
      </c>
      <c r="O5" s="5">
        <v>0</v>
      </c>
      <c r="P5" s="4">
        <v>1</v>
      </c>
      <c r="Q5" s="4">
        <v>3.190751694573446</v>
      </c>
      <c r="R5" s="4">
        <v>10</v>
      </c>
      <c r="S5" s="5">
        <v>0</v>
      </c>
      <c r="T5" s="4">
        <v>3.2099999999999997E-2</v>
      </c>
      <c r="U5" s="4">
        <v>0.49487287065181901</v>
      </c>
      <c r="V5" s="4">
        <v>0.97560000000000002</v>
      </c>
      <c r="W5" s="6">
        <v>0</v>
      </c>
      <c r="X5" s="4">
        <v>0.25655467408576382</v>
      </c>
      <c r="Y5" s="4">
        <v>0.1741063521884964</v>
      </c>
      <c r="Z5" s="4">
        <v>0.17567404657143751</v>
      </c>
      <c r="AA5" s="4">
        <v>0.39366492715430229</v>
      </c>
    </row>
  </sheetData>
  <mergeCells count="6">
    <mergeCell ref="W1:AA1"/>
    <mergeCell ref="C1:F1"/>
    <mergeCell ref="G1:J1"/>
    <mergeCell ref="K1:N1"/>
    <mergeCell ref="O1:R1"/>
    <mergeCell ref="S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"/>
  <sheetViews>
    <sheetView workbookViewId="0"/>
  </sheetViews>
  <sheetFormatPr defaultRowHeight="15" x14ac:dyDescent="0.25"/>
  <cols>
    <col min="1" max="1" width="12" customWidth="1"/>
    <col min="2" max="2" width="13.28515625" customWidth="1"/>
    <col min="3" max="3" width="9.42578125" customWidth="1"/>
    <col min="4" max="4" width="14.42578125" customWidth="1"/>
    <col min="5" max="5" width="17" customWidth="1"/>
    <col min="6" max="13" width="23.28515625" customWidth="1"/>
    <col min="14" max="15" width="14.42578125" customWidth="1"/>
    <col min="16" max="17" width="23.28515625" customWidth="1"/>
    <col min="18" max="19" width="24.42578125" customWidth="1"/>
  </cols>
  <sheetData>
    <row r="1" spans="1:19" x14ac:dyDescent="0.25">
      <c r="A1" s="2" t="s">
        <v>60</v>
      </c>
      <c r="B1" s="2" t="s">
        <v>61</v>
      </c>
      <c r="C1" s="2" t="s">
        <v>15</v>
      </c>
      <c r="D1" s="2" t="s">
        <v>17</v>
      </c>
      <c r="E1" s="2" t="s">
        <v>18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</row>
    <row r="2" spans="1:19" x14ac:dyDescent="0.25">
      <c r="A2" t="s">
        <v>68</v>
      </c>
      <c r="B2" t="s">
        <v>69</v>
      </c>
      <c r="C2" s="3">
        <v>80057</v>
      </c>
      <c r="D2" s="3">
        <v>960684</v>
      </c>
      <c r="E2" s="4">
        <v>12</v>
      </c>
      <c r="F2" s="4">
        <v>5.3098292466617538</v>
      </c>
      <c r="G2" s="4">
        <v>113.4039405865595</v>
      </c>
      <c r="H2" s="4">
        <v>137.12120064454081</v>
      </c>
      <c r="I2" s="4">
        <v>191.26005684199589</v>
      </c>
      <c r="J2" s="4">
        <v>408.49253594314052</v>
      </c>
      <c r="K2" s="4">
        <v>467.19419047103622</v>
      </c>
      <c r="L2" s="4">
        <v>602.15556041320576</v>
      </c>
      <c r="M2" s="4">
        <v>773.98306250448741</v>
      </c>
      <c r="N2" s="11">
        <v>46080</v>
      </c>
      <c r="O2" s="11">
        <v>401768</v>
      </c>
      <c r="P2" s="11">
        <v>46053</v>
      </c>
      <c r="Q2" s="11">
        <v>46843</v>
      </c>
      <c r="R2" s="11">
        <v>45755</v>
      </c>
      <c r="S2" s="11">
        <v>46077</v>
      </c>
    </row>
    <row r="3" spans="1:19" x14ac:dyDescent="0.25">
      <c r="A3" t="s">
        <v>68</v>
      </c>
      <c r="B3" t="s">
        <v>70</v>
      </c>
      <c r="C3" s="3">
        <v>58125</v>
      </c>
      <c r="D3" s="3">
        <v>697500</v>
      </c>
      <c r="E3" s="4">
        <v>12</v>
      </c>
      <c r="F3" s="4">
        <v>2.181729032258064</v>
      </c>
      <c r="G3" s="4">
        <v>113.83765733797</v>
      </c>
      <c r="H3" s="4">
        <v>4.3053491612903212</v>
      </c>
      <c r="I3" s="4">
        <v>38.23367233516904</v>
      </c>
      <c r="J3" s="4">
        <v>12.924476043010751</v>
      </c>
      <c r="K3" s="4">
        <v>93.947492949884136</v>
      </c>
      <c r="L3" s="4">
        <v>248.36292197849451</v>
      </c>
      <c r="M3" s="4">
        <v>718.05003144189868</v>
      </c>
      <c r="N3" s="11">
        <v>46057</v>
      </c>
      <c r="O3" s="11">
        <v>401768</v>
      </c>
      <c r="P3" s="11">
        <v>45747</v>
      </c>
      <c r="Q3" s="11">
        <v>2958465</v>
      </c>
      <c r="R3" s="11">
        <v>33737</v>
      </c>
      <c r="S3" s="11">
        <v>46080</v>
      </c>
    </row>
    <row r="4" spans="1:19" x14ac:dyDescent="0.25">
      <c r="A4" t="s">
        <v>68</v>
      </c>
      <c r="B4" t="s">
        <v>68</v>
      </c>
      <c r="C4" s="3">
        <v>742092</v>
      </c>
      <c r="D4" s="3">
        <v>8905104</v>
      </c>
      <c r="E4" s="4">
        <v>12</v>
      </c>
      <c r="F4" s="4">
        <v>28.942426275987341</v>
      </c>
      <c r="G4" s="4">
        <v>103.75972450294719</v>
      </c>
      <c r="H4" s="4">
        <v>222.82489161721159</v>
      </c>
      <c r="I4" s="4">
        <v>215.87281482813819</v>
      </c>
      <c r="J4" s="4">
        <v>696.85928048004621</v>
      </c>
      <c r="K4" s="4">
        <v>558.3971995020072</v>
      </c>
      <c r="L4" s="4">
        <v>3003.0581768433049</v>
      </c>
      <c r="M4" s="4">
        <v>2197.044792417857</v>
      </c>
      <c r="N4" s="11">
        <v>46080</v>
      </c>
      <c r="O4" s="11">
        <v>401768</v>
      </c>
      <c r="P4" s="11">
        <v>45199</v>
      </c>
      <c r="Q4" s="11">
        <v>2958465</v>
      </c>
      <c r="R4" s="11">
        <v>31271</v>
      </c>
      <c r="S4" s="11">
        <v>46080</v>
      </c>
    </row>
    <row r="5" spans="1:19" x14ac:dyDescent="0.25">
      <c r="A5" t="s">
        <v>68</v>
      </c>
      <c r="B5" t="s">
        <v>71</v>
      </c>
      <c r="C5" s="3">
        <v>357330</v>
      </c>
      <c r="D5" s="3">
        <v>4287960</v>
      </c>
      <c r="E5" s="4">
        <v>12</v>
      </c>
      <c r="F5" s="4">
        <v>25.10783309545798</v>
      </c>
      <c r="G5" s="4">
        <v>106.81139450334391</v>
      </c>
      <c r="H5" s="4">
        <v>195.66256426832339</v>
      </c>
      <c r="I5" s="4">
        <v>222.62257443444841</v>
      </c>
      <c r="J5" s="4">
        <v>626.71726230655133</v>
      </c>
      <c r="K5" s="4">
        <v>592.92805154301027</v>
      </c>
      <c r="L5" s="4">
        <v>2681.8026658830781</v>
      </c>
      <c r="M5" s="4">
        <v>2312.7986947161671</v>
      </c>
      <c r="N5" s="11">
        <v>46000</v>
      </c>
      <c r="O5" s="11">
        <v>401768</v>
      </c>
      <c r="P5" s="11">
        <v>44681</v>
      </c>
      <c r="Q5" s="11">
        <v>2958465</v>
      </c>
      <c r="R5" s="11">
        <v>31243</v>
      </c>
      <c r="S5" s="11">
        <v>46080</v>
      </c>
    </row>
    <row r="6" spans="1:19" x14ac:dyDescent="0.25">
      <c r="A6" t="s">
        <v>68</v>
      </c>
      <c r="B6" t="s">
        <v>72</v>
      </c>
      <c r="C6" s="3">
        <v>193321</v>
      </c>
      <c r="D6" s="3">
        <v>2319852</v>
      </c>
      <c r="E6" s="4">
        <v>12</v>
      </c>
      <c r="F6" s="4">
        <v>27.805153087352121</v>
      </c>
      <c r="G6" s="4">
        <v>111.9650560171301</v>
      </c>
      <c r="H6" s="4">
        <v>224.78047459924181</v>
      </c>
      <c r="I6" s="4">
        <v>230.27969416855649</v>
      </c>
      <c r="J6" s="4">
        <v>722.55101266804922</v>
      </c>
      <c r="K6" s="4">
        <v>609.6112169464036</v>
      </c>
      <c r="L6" s="4">
        <v>3113.2055229902589</v>
      </c>
      <c r="M6" s="4">
        <v>2345.0067519345789</v>
      </c>
      <c r="N6" s="11">
        <v>46079</v>
      </c>
      <c r="O6" s="11">
        <v>401768</v>
      </c>
      <c r="P6" s="11">
        <v>44865</v>
      </c>
      <c r="Q6" s="11">
        <v>2958465</v>
      </c>
      <c r="R6" s="11">
        <v>31301</v>
      </c>
      <c r="S6" s="11">
        <v>46080</v>
      </c>
    </row>
    <row r="7" spans="1:19" x14ac:dyDescent="0.25">
      <c r="A7" t="s">
        <v>68</v>
      </c>
      <c r="B7" t="s">
        <v>73</v>
      </c>
      <c r="C7" s="3">
        <v>146755</v>
      </c>
      <c r="D7" s="3">
        <v>1761060</v>
      </c>
      <c r="E7" s="4">
        <v>12</v>
      </c>
      <c r="F7" s="4">
        <v>26.349439542093961</v>
      </c>
      <c r="G7" s="4">
        <v>114.8246720277058</v>
      </c>
      <c r="H7" s="4">
        <v>217.33948029027971</v>
      </c>
      <c r="I7" s="4">
        <v>219.0474581658911</v>
      </c>
      <c r="J7" s="4">
        <v>694.38471336581472</v>
      </c>
      <c r="K7" s="4">
        <v>568.1540397499931</v>
      </c>
      <c r="L7" s="4">
        <v>3025.5657535348018</v>
      </c>
      <c r="M7" s="4">
        <v>2190.4243838403308</v>
      </c>
      <c r="N7" s="11">
        <v>46080</v>
      </c>
      <c r="O7" s="11">
        <v>401768</v>
      </c>
      <c r="P7" s="11">
        <v>44804</v>
      </c>
      <c r="Q7" s="11">
        <v>2958465</v>
      </c>
      <c r="R7" s="11">
        <v>33485</v>
      </c>
      <c r="S7" s="11">
        <v>46080</v>
      </c>
    </row>
    <row r="8" spans="1:19" x14ac:dyDescent="0.25">
      <c r="A8" t="s">
        <v>68</v>
      </c>
      <c r="B8" t="s">
        <v>74</v>
      </c>
      <c r="C8" s="3">
        <v>106818</v>
      </c>
      <c r="D8" s="3">
        <v>1281816</v>
      </c>
      <c r="E8" s="4">
        <v>12</v>
      </c>
      <c r="F8" s="4">
        <v>23.258186822445651</v>
      </c>
      <c r="G8" s="4">
        <v>121.4442411647432</v>
      </c>
      <c r="H8" s="4">
        <v>199.50055908180281</v>
      </c>
      <c r="I8" s="4">
        <v>210.60836812717531</v>
      </c>
      <c r="J8" s="4">
        <v>640.07928158175582</v>
      </c>
      <c r="K8" s="4">
        <v>537.92302728557661</v>
      </c>
      <c r="L8" s="4">
        <v>2824.5728495197441</v>
      </c>
      <c r="M8" s="4">
        <v>2093.5357981825891</v>
      </c>
      <c r="N8" s="11">
        <v>46080</v>
      </c>
      <c r="O8" s="11">
        <v>401768</v>
      </c>
      <c r="P8" s="11">
        <v>45016</v>
      </c>
      <c r="Q8" s="11">
        <v>2958465</v>
      </c>
      <c r="R8" s="11">
        <v>32035</v>
      </c>
      <c r="S8" s="11">
        <v>46080</v>
      </c>
    </row>
    <row r="9" spans="1:19" x14ac:dyDescent="0.25">
      <c r="A9" t="s">
        <v>68</v>
      </c>
      <c r="B9" t="s">
        <v>75</v>
      </c>
      <c r="C9" s="3">
        <v>102666</v>
      </c>
      <c r="D9" s="3">
        <v>1231992</v>
      </c>
      <c r="E9" s="4">
        <v>12</v>
      </c>
      <c r="F9" s="4">
        <v>17.868495899324021</v>
      </c>
      <c r="G9" s="4">
        <v>127.7410741040956</v>
      </c>
      <c r="H9" s="4">
        <v>158.38263193267491</v>
      </c>
      <c r="I9" s="4">
        <v>197.96143889746921</v>
      </c>
      <c r="J9" s="4">
        <v>510.62360177663521</v>
      </c>
      <c r="K9" s="4">
        <v>505.99485630106278</v>
      </c>
      <c r="L9" s="4">
        <v>2282.5408588042778</v>
      </c>
      <c r="M9" s="4">
        <v>1981.999328191848</v>
      </c>
      <c r="N9" s="11">
        <v>46003</v>
      </c>
      <c r="O9" s="11">
        <v>401768</v>
      </c>
      <c r="P9" s="11">
        <v>44834</v>
      </c>
      <c r="Q9" s="11">
        <v>2958465</v>
      </c>
      <c r="R9" s="11">
        <v>32629</v>
      </c>
      <c r="S9" s="11">
        <v>46080</v>
      </c>
    </row>
    <row r="10" spans="1:19" x14ac:dyDescent="0.25">
      <c r="A10" t="s">
        <v>68</v>
      </c>
      <c r="B10" t="s">
        <v>76</v>
      </c>
      <c r="C10" s="3">
        <v>89118</v>
      </c>
      <c r="D10" s="3">
        <v>1069416</v>
      </c>
      <c r="E10" s="4">
        <v>12</v>
      </c>
      <c r="F10" s="4">
        <v>12.912913216185281</v>
      </c>
      <c r="G10" s="4">
        <v>132.4648880969574</v>
      </c>
      <c r="H10" s="4">
        <v>114.9887399851881</v>
      </c>
      <c r="I10" s="4">
        <v>179.7982558133908</v>
      </c>
      <c r="J10" s="4">
        <v>368.36099497295692</v>
      </c>
      <c r="K10" s="4">
        <v>457.91253098273398</v>
      </c>
      <c r="L10" s="4">
        <v>1710.507604187706</v>
      </c>
      <c r="M10" s="4">
        <v>1811.9098443968519</v>
      </c>
      <c r="N10" s="11">
        <v>45891</v>
      </c>
      <c r="O10" s="11">
        <v>401768</v>
      </c>
      <c r="P10" s="11">
        <v>45260</v>
      </c>
      <c r="Q10" s="11">
        <v>2958465</v>
      </c>
      <c r="R10" s="11">
        <v>31201</v>
      </c>
      <c r="S10" s="11">
        <v>46080</v>
      </c>
    </row>
    <row r="11" spans="1:19" x14ac:dyDescent="0.25">
      <c r="A11" t="s">
        <v>68</v>
      </c>
      <c r="B11" t="s">
        <v>77</v>
      </c>
      <c r="C11" s="3">
        <v>68485</v>
      </c>
      <c r="D11" s="3">
        <v>821820</v>
      </c>
      <c r="E11" s="4">
        <v>12</v>
      </c>
      <c r="F11" s="4">
        <v>8.4946630649047243</v>
      </c>
      <c r="G11" s="4">
        <v>131.23416596620231</v>
      </c>
      <c r="H11" s="4">
        <v>65.440985033218993</v>
      </c>
      <c r="I11" s="4">
        <v>144.0376852723582</v>
      </c>
      <c r="J11" s="4">
        <v>212.5883812513689</v>
      </c>
      <c r="K11" s="4">
        <v>370.0209234947003</v>
      </c>
      <c r="L11" s="4">
        <v>1114.7900224866751</v>
      </c>
      <c r="M11" s="4">
        <v>1526.948761099211</v>
      </c>
      <c r="N11" s="11">
        <v>46080</v>
      </c>
      <c r="O11" s="11">
        <v>401768</v>
      </c>
      <c r="P11" s="11">
        <v>44712</v>
      </c>
      <c r="Q11" s="11">
        <v>2958465</v>
      </c>
      <c r="R11" s="11">
        <v>30942</v>
      </c>
      <c r="S11" s="11">
        <v>46080</v>
      </c>
    </row>
    <row r="12" spans="1:19" x14ac:dyDescent="0.25">
      <c r="A12" t="s">
        <v>68</v>
      </c>
      <c r="B12" t="s">
        <v>78</v>
      </c>
      <c r="C12" s="3">
        <v>70932</v>
      </c>
      <c r="D12" s="3">
        <v>851184</v>
      </c>
      <c r="E12" s="4">
        <v>12</v>
      </c>
      <c r="F12" s="4">
        <v>5.3614588620086847</v>
      </c>
      <c r="G12" s="4">
        <v>123.3934461831349</v>
      </c>
      <c r="H12" s="4">
        <v>26.352618564258709</v>
      </c>
      <c r="I12" s="4">
        <v>96.315158690726662</v>
      </c>
      <c r="J12" s="4">
        <v>86.052243557209792</v>
      </c>
      <c r="K12" s="4">
        <v>243.1584165048765</v>
      </c>
      <c r="L12" s="4">
        <v>661.56888555236037</v>
      </c>
      <c r="M12" s="4">
        <v>1149.3434703689979</v>
      </c>
      <c r="N12" s="11">
        <v>46080</v>
      </c>
      <c r="O12" s="11">
        <v>401768</v>
      </c>
      <c r="P12" s="11">
        <v>44530</v>
      </c>
      <c r="Q12" s="11">
        <v>2958465</v>
      </c>
      <c r="R12" s="11">
        <v>31411</v>
      </c>
      <c r="S12" s="11">
        <v>46080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98"/>
  <sheetViews>
    <sheetView topLeftCell="J1" zoomScale="80" zoomScaleNormal="80" workbookViewId="0">
      <selection activeCell="O7" sqref="O7"/>
    </sheetView>
  </sheetViews>
  <sheetFormatPr defaultRowHeight="15" x14ac:dyDescent="0.25"/>
  <cols>
    <col min="1" max="1" width="13.28515625" customWidth="1"/>
    <col min="2" max="2" width="9.42578125" customWidth="1"/>
    <col min="3" max="4" width="10.7109375" customWidth="1"/>
    <col min="5" max="5" width="34" customWidth="1"/>
    <col min="6" max="6" width="38" customWidth="1"/>
    <col min="7" max="7" width="11.28515625" customWidth="1"/>
    <col min="8" max="8" width="11.85546875" customWidth="1"/>
    <col min="9" max="9" width="7" customWidth="1"/>
    <col min="10" max="10" width="14.42578125" customWidth="1"/>
    <col min="11" max="11" width="12" customWidth="1"/>
    <col min="12" max="16" width="8.7109375" customWidth="1"/>
    <col min="17" max="17" width="32.85546875" customWidth="1"/>
    <col min="18" max="18" width="35.5703125" customWidth="1"/>
    <col min="20" max="20" width="12.5703125" customWidth="1"/>
  </cols>
  <sheetData>
    <row r="1" spans="1:25" ht="15.75" x14ac:dyDescent="0.3">
      <c r="A1" s="12" t="s">
        <v>79</v>
      </c>
      <c r="M1" s="12" t="s">
        <v>79</v>
      </c>
    </row>
    <row r="2" spans="1:25" ht="30.75" thickBot="1" x14ac:dyDescent="0.3">
      <c r="A2" s="2" t="s">
        <v>80</v>
      </c>
      <c r="B2" s="2" t="s">
        <v>13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M2" s="2" t="s">
        <v>80</v>
      </c>
      <c r="N2" s="2" t="s">
        <v>13</v>
      </c>
      <c r="O2" s="2" t="s">
        <v>81</v>
      </c>
      <c r="P2" s="2" t="s">
        <v>82</v>
      </c>
      <c r="Q2" s="2" t="s">
        <v>83</v>
      </c>
      <c r="R2" s="2" t="s">
        <v>84</v>
      </c>
      <c r="S2" s="2" t="s">
        <v>85</v>
      </c>
      <c r="T2" s="2" t="s">
        <v>86</v>
      </c>
      <c r="U2" s="2" t="s">
        <v>87</v>
      </c>
      <c r="V2" s="2" t="s">
        <v>88</v>
      </c>
      <c r="W2" s="2" t="s">
        <v>89</v>
      </c>
    </row>
    <row r="3" spans="1:25" x14ac:dyDescent="0.25">
      <c r="A3" t="s">
        <v>90</v>
      </c>
      <c r="B3" s="3">
        <v>1745</v>
      </c>
      <c r="C3" s="3">
        <v>1</v>
      </c>
      <c r="D3" t="s">
        <v>91</v>
      </c>
      <c r="E3" t="s">
        <v>92</v>
      </c>
      <c r="F3" t="s">
        <v>93</v>
      </c>
      <c r="G3" s="3">
        <v>1</v>
      </c>
      <c r="H3" s="14">
        <v>1.3809470717123371</v>
      </c>
      <c r="I3" s="4">
        <v>1</v>
      </c>
      <c r="J3" s="3">
        <v>0</v>
      </c>
      <c r="K3" t="s">
        <v>68</v>
      </c>
      <c r="M3" t="s">
        <v>90</v>
      </c>
      <c r="N3">
        <v>1745</v>
      </c>
      <c r="O3">
        <v>1</v>
      </c>
      <c r="P3" t="s">
        <v>91</v>
      </c>
      <c r="Q3" t="s">
        <v>92</v>
      </c>
      <c r="R3" t="s">
        <v>93</v>
      </c>
      <c r="S3">
        <v>1</v>
      </c>
      <c r="T3">
        <v>1.3790861149813389</v>
      </c>
      <c r="U3">
        <v>1</v>
      </c>
      <c r="V3">
        <v>0</v>
      </c>
      <c r="W3" t="s">
        <v>68</v>
      </c>
      <c r="Y3" t="b">
        <f>E3=Q3</f>
        <v>1</v>
      </c>
    </row>
    <row r="4" spans="1:25" x14ac:dyDescent="0.25">
      <c r="A4" t="s">
        <v>90</v>
      </c>
      <c r="B4" s="3">
        <v>1745</v>
      </c>
      <c r="C4" s="3">
        <v>2</v>
      </c>
      <c r="D4" t="s">
        <v>91</v>
      </c>
      <c r="E4" t="s">
        <v>94</v>
      </c>
      <c r="F4" t="s">
        <v>95</v>
      </c>
      <c r="G4" s="3">
        <v>2</v>
      </c>
      <c r="H4" s="14">
        <v>1.3515178385059949</v>
      </c>
      <c r="I4" s="4">
        <v>1</v>
      </c>
      <c r="J4" s="3">
        <v>0</v>
      </c>
      <c r="K4" t="s">
        <v>68</v>
      </c>
      <c r="M4" t="s">
        <v>90</v>
      </c>
      <c r="N4">
        <v>1745</v>
      </c>
      <c r="O4">
        <v>2</v>
      </c>
      <c r="P4" t="s">
        <v>91</v>
      </c>
      <c r="Q4" t="s">
        <v>94</v>
      </c>
      <c r="R4" t="s">
        <v>95</v>
      </c>
      <c r="S4">
        <v>2</v>
      </c>
      <c r="T4">
        <v>1.350738653639594</v>
      </c>
      <c r="U4">
        <v>1</v>
      </c>
      <c r="V4">
        <v>0</v>
      </c>
      <c r="W4" t="s">
        <v>68</v>
      </c>
      <c r="Y4" t="b">
        <f t="shared" ref="Y4:Y67" si="0">E4=Q4</f>
        <v>1</v>
      </c>
    </row>
    <row r="5" spans="1:25" x14ac:dyDescent="0.25">
      <c r="A5" t="s">
        <v>90</v>
      </c>
      <c r="B5" s="3">
        <v>1745</v>
      </c>
      <c r="C5" s="3">
        <v>3</v>
      </c>
      <c r="D5" t="s">
        <v>91</v>
      </c>
      <c r="E5" t="s">
        <v>96</v>
      </c>
      <c r="F5" t="s">
        <v>97</v>
      </c>
      <c r="G5" s="3">
        <v>3</v>
      </c>
      <c r="H5" s="14">
        <v>1.0403345921669509</v>
      </c>
      <c r="I5" s="4">
        <v>1</v>
      </c>
      <c r="J5" s="3">
        <v>0</v>
      </c>
      <c r="K5" t="s">
        <v>68</v>
      </c>
      <c r="M5" t="s">
        <v>90</v>
      </c>
      <c r="N5">
        <v>1745</v>
      </c>
      <c r="O5">
        <v>3</v>
      </c>
      <c r="P5" t="s">
        <v>91</v>
      </c>
      <c r="Q5" t="s">
        <v>96</v>
      </c>
      <c r="R5" t="s">
        <v>98</v>
      </c>
      <c r="S5">
        <v>3</v>
      </c>
      <c r="T5">
        <v>1.0389819853100479</v>
      </c>
      <c r="U5">
        <v>1</v>
      </c>
      <c r="V5">
        <v>0</v>
      </c>
      <c r="W5" t="s">
        <v>68</v>
      </c>
      <c r="Y5" t="b">
        <f t="shared" si="0"/>
        <v>1</v>
      </c>
    </row>
    <row r="6" spans="1:25" x14ac:dyDescent="0.25">
      <c r="A6" t="s">
        <v>90</v>
      </c>
      <c r="B6" s="3">
        <v>1745</v>
      </c>
      <c r="C6" s="3">
        <v>4</v>
      </c>
      <c r="D6" t="s">
        <v>91</v>
      </c>
      <c r="E6" t="s">
        <v>99</v>
      </c>
      <c r="F6" t="s">
        <v>100</v>
      </c>
      <c r="G6" s="3">
        <v>4</v>
      </c>
      <c r="H6" s="14">
        <v>1</v>
      </c>
      <c r="I6" s="4">
        <v>1</v>
      </c>
      <c r="J6" s="3">
        <v>0</v>
      </c>
      <c r="K6" t="s">
        <v>68</v>
      </c>
      <c r="M6" t="s">
        <v>90</v>
      </c>
      <c r="N6">
        <v>1745</v>
      </c>
      <c r="O6">
        <v>4</v>
      </c>
      <c r="P6" t="s">
        <v>91</v>
      </c>
      <c r="Q6" t="s">
        <v>99</v>
      </c>
      <c r="R6" t="s">
        <v>101</v>
      </c>
      <c r="S6">
        <v>4</v>
      </c>
      <c r="T6">
        <v>1</v>
      </c>
      <c r="U6">
        <v>1</v>
      </c>
      <c r="V6">
        <v>0</v>
      </c>
      <c r="W6" t="s">
        <v>68</v>
      </c>
      <c r="Y6" t="b">
        <f t="shared" si="0"/>
        <v>1</v>
      </c>
    </row>
    <row r="7" spans="1:25" x14ac:dyDescent="0.25">
      <c r="A7" t="s">
        <v>90</v>
      </c>
      <c r="B7" s="3">
        <v>1745</v>
      </c>
      <c r="C7" s="3">
        <v>5</v>
      </c>
      <c r="D7" t="s">
        <v>91</v>
      </c>
      <c r="E7" t="s">
        <v>102</v>
      </c>
      <c r="F7" t="s">
        <v>103</v>
      </c>
      <c r="J7" s="3">
        <v>1</v>
      </c>
      <c r="K7" t="s">
        <v>68</v>
      </c>
      <c r="M7" t="s">
        <v>90</v>
      </c>
      <c r="N7">
        <v>1745</v>
      </c>
      <c r="O7">
        <v>5</v>
      </c>
      <c r="P7" t="s">
        <v>91</v>
      </c>
      <c r="Q7" t="s">
        <v>102</v>
      </c>
      <c r="R7" t="s">
        <v>103</v>
      </c>
      <c r="V7">
        <v>1</v>
      </c>
      <c r="W7" t="s">
        <v>68</v>
      </c>
      <c r="Y7" t="b">
        <f t="shared" si="0"/>
        <v>1</v>
      </c>
    </row>
    <row r="8" spans="1:25" x14ac:dyDescent="0.25">
      <c r="A8" t="s">
        <v>90</v>
      </c>
      <c r="B8" s="3">
        <v>1745</v>
      </c>
      <c r="C8" s="3">
        <v>6</v>
      </c>
      <c r="D8" t="s">
        <v>91</v>
      </c>
      <c r="E8" t="s">
        <v>104</v>
      </c>
      <c r="F8" t="s">
        <v>105</v>
      </c>
      <c r="J8" s="3">
        <v>1</v>
      </c>
      <c r="K8" t="s">
        <v>68</v>
      </c>
      <c r="M8" t="s">
        <v>90</v>
      </c>
      <c r="N8">
        <v>1745</v>
      </c>
      <c r="O8">
        <v>6</v>
      </c>
      <c r="P8" t="s">
        <v>91</v>
      </c>
      <c r="Q8" t="s">
        <v>106</v>
      </c>
      <c r="R8" t="s">
        <v>107</v>
      </c>
      <c r="V8">
        <v>1</v>
      </c>
      <c r="W8" t="s">
        <v>68</v>
      </c>
      <c r="Y8" t="b">
        <f t="shared" si="0"/>
        <v>0</v>
      </c>
    </row>
    <row r="9" spans="1:25" x14ac:dyDescent="0.25">
      <c r="A9" t="s">
        <v>90</v>
      </c>
      <c r="B9" s="3">
        <v>1745</v>
      </c>
      <c r="C9" s="3">
        <v>7</v>
      </c>
      <c r="D9" t="s">
        <v>91</v>
      </c>
      <c r="E9" t="s">
        <v>108</v>
      </c>
      <c r="F9" t="s">
        <v>109</v>
      </c>
      <c r="J9" s="3">
        <v>1</v>
      </c>
      <c r="K9" t="s">
        <v>68</v>
      </c>
      <c r="M9" t="s">
        <v>90</v>
      </c>
      <c r="N9">
        <v>1745</v>
      </c>
      <c r="O9">
        <v>7</v>
      </c>
      <c r="P9" t="s">
        <v>91</v>
      </c>
      <c r="Q9" t="s">
        <v>110</v>
      </c>
      <c r="R9" t="s">
        <v>111</v>
      </c>
      <c r="V9">
        <v>1</v>
      </c>
      <c r="W9" t="s">
        <v>68</v>
      </c>
      <c r="Y9" t="b">
        <f t="shared" si="0"/>
        <v>0</v>
      </c>
    </row>
    <row r="10" spans="1:25" x14ac:dyDescent="0.25">
      <c r="A10" t="s">
        <v>90</v>
      </c>
      <c r="B10" s="3">
        <v>1745</v>
      </c>
      <c r="C10" s="3">
        <v>8</v>
      </c>
      <c r="D10" t="s">
        <v>91</v>
      </c>
      <c r="E10" t="s">
        <v>106</v>
      </c>
      <c r="F10" t="s">
        <v>112</v>
      </c>
      <c r="J10" s="3">
        <v>1</v>
      </c>
      <c r="K10" t="s">
        <v>68</v>
      </c>
      <c r="M10" t="s">
        <v>90</v>
      </c>
      <c r="N10">
        <v>1745</v>
      </c>
      <c r="O10">
        <v>8</v>
      </c>
      <c r="P10" t="s">
        <v>91</v>
      </c>
      <c r="Q10" t="s">
        <v>104</v>
      </c>
      <c r="R10" t="s">
        <v>105</v>
      </c>
      <c r="V10">
        <v>1</v>
      </c>
      <c r="W10" t="s">
        <v>68</v>
      </c>
      <c r="Y10" t="b">
        <f t="shared" si="0"/>
        <v>0</v>
      </c>
    </row>
    <row r="11" spans="1:25" x14ac:dyDescent="0.25">
      <c r="A11" t="s">
        <v>90</v>
      </c>
      <c r="B11" s="3">
        <v>1745</v>
      </c>
      <c r="C11" s="3">
        <v>9</v>
      </c>
      <c r="D11" t="s">
        <v>91</v>
      </c>
      <c r="E11" t="s">
        <v>110</v>
      </c>
      <c r="F11" t="s">
        <v>111</v>
      </c>
      <c r="J11" s="3">
        <v>1</v>
      </c>
      <c r="K11" t="s">
        <v>68</v>
      </c>
      <c r="M11" t="s">
        <v>90</v>
      </c>
      <c r="N11">
        <v>1745</v>
      </c>
      <c r="O11">
        <v>9</v>
      </c>
      <c r="P11" t="s">
        <v>91</v>
      </c>
      <c r="Q11" t="s">
        <v>108</v>
      </c>
      <c r="R11" t="s">
        <v>113</v>
      </c>
      <c r="V11">
        <v>1</v>
      </c>
      <c r="W11" t="s">
        <v>68</v>
      </c>
      <c r="Y11" t="b">
        <f t="shared" si="0"/>
        <v>0</v>
      </c>
    </row>
    <row r="12" spans="1:25" x14ac:dyDescent="0.25">
      <c r="A12" t="s">
        <v>90</v>
      </c>
      <c r="B12" s="3">
        <v>1745</v>
      </c>
      <c r="C12" s="3">
        <v>10</v>
      </c>
      <c r="D12" t="s">
        <v>91</v>
      </c>
      <c r="E12" t="s">
        <v>114</v>
      </c>
      <c r="F12" t="s">
        <v>115</v>
      </c>
      <c r="J12" s="3">
        <v>1</v>
      </c>
      <c r="K12" t="s">
        <v>68</v>
      </c>
      <c r="M12" t="s">
        <v>90</v>
      </c>
      <c r="N12">
        <v>1745</v>
      </c>
      <c r="O12">
        <v>10</v>
      </c>
      <c r="P12" t="s">
        <v>91</v>
      </c>
      <c r="Q12" t="s">
        <v>116</v>
      </c>
      <c r="R12" t="s">
        <v>117</v>
      </c>
      <c r="V12">
        <v>1</v>
      </c>
      <c r="W12" t="s">
        <v>68</v>
      </c>
      <c r="Y12" t="b">
        <f t="shared" si="0"/>
        <v>0</v>
      </c>
    </row>
    <row r="13" spans="1:25" x14ac:dyDescent="0.25">
      <c r="A13" t="s">
        <v>90</v>
      </c>
      <c r="B13" s="3">
        <v>1745</v>
      </c>
      <c r="C13" s="3">
        <v>11</v>
      </c>
      <c r="D13" t="s">
        <v>91</v>
      </c>
      <c r="E13" t="s">
        <v>118</v>
      </c>
      <c r="F13" t="s">
        <v>119</v>
      </c>
      <c r="J13" s="3">
        <v>1</v>
      </c>
      <c r="K13" t="s">
        <v>68</v>
      </c>
      <c r="M13" t="s">
        <v>90</v>
      </c>
      <c r="N13">
        <v>1745</v>
      </c>
      <c r="O13">
        <v>11</v>
      </c>
      <c r="P13" t="s">
        <v>91</v>
      </c>
      <c r="Q13" t="s">
        <v>118</v>
      </c>
      <c r="R13" t="s">
        <v>119</v>
      </c>
      <c r="V13">
        <v>1</v>
      </c>
      <c r="W13" t="s">
        <v>68</v>
      </c>
      <c r="Y13" t="b">
        <f t="shared" si="0"/>
        <v>1</v>
      </c>
    </row>
    <row r="14" spans="1:25" x14ac:dyDescent="0.25">
      <c r="A14" t="s">
        <v>90</v>
      </c>
      <c r="B14" s="3">
        <v>1745</v>
      </c>
      <c r="C14" s="3">
        <v>12</v>
      </c>
      <c r="D14" t="s">
        <v>91</v>
      </c>
      <c r="E14" t="s">
        <v>120</v>
      </c>
      <c r="F14" t="s">
        <v>121</v>
      </c>
      <c r="J14" s="3">
        <v>1</v>
      </c>
      <c r="K14" t="s">
        <v>68</v>
      </c>
      <c r="M14" t="s">
        <v>90</v>
      </c>
      <c r="N14">
        <v>1745</v>
      </c>
      <c r="O14">
        <v>12</v>
      </c>
      <c r="P14" t="s">
        <v>91</v>
      </c>
      <c r="Q14" t="s">
        <v>122</v>
      </c>
      <c r="R14" t="s">
        <v>123</v>
      </c>
      <c r="V14">
        <v>1</v>
      </c>
      <c r="W14" t="s">
        <v>68</v>
      </c>
      <c r="Y14" t="b">
        <f t="shared" si="0"/>
        <v>0</v>
      </c>
    </row>
    <row r="17" spans="1:25" ht="15.75" x14ac:dyDescent="0.3">
      <c r="A17" s="12" t="s">
        <v>124</v>
      </c>
      <c r="M17" s="12" t="s">
        <v>124</v>
      </c>
    </row>
    <row r="18" spans="1:25" ht="30.75" thickBot="1" x14ac:dyDescent="0.3">
      <c r="A18" s="2" t="s">
        <v>80</v>
      </c>
      <c r="B18" s="2" t="s">
        <v>13</v>
      </c>
      <c r="C18" s="2" t="s">
        <v>81</v>
      </c>
      <c r="D18" s="2" t="s">
        <v>82</v>
      </c>
      <c r="E18" s="2" t="s">
        <v>83</v>
      </c>
      <c r="F18" s="2" t="s">
        <v>84</v>
      </c>
      <c r="G18" s="2" t="s">
        <v>85</v>
      </c>
      <c r="H18" s="2" t="s">
        <v>86</v>
      </c>
      <c r="I18" s="2" t="s">
        <v>87</v>
      </c>
      <c r="J18" s="2" t="s">
        <v>88</v>
      </c>
      <c r="K18" s="2" t="s">
        <v>89</v>
      </c>
      <c r="M18" s="2" t="s">
        <v>80</v>
      </c>
      <c r="N18" s="2" t="s">
        <v>13</v>
      </c>
      <c r="O18" s="2" t="s">
        <v>81</v>
      </c>
      <c r="P18" s="2" t="s">
        <v>82</v>
      </c>
      <c r="Q18" s="2" t="s">
        <v>83</v>
      </c>
      <c r="R18" s="2" t="s">
        <v>84</v>
      </c>
      <c r="S18" s="2" t="s">
        <v>85</v>
      </c>
      <c r="T18" s="2" t="s">
        <v>86</v>
      </c>
      <c r="U18" s="2" t="s">
        <v>87</v>
      </c>
      <c r="V18" s="2" t="s">
        <v>88</v>
      </c>
      <c r="W18" s="2" t="s">
        <v>89</v>
      </c>
    </row>
    <row r="19" spans="1:25" x14ac:dyDescent="0.25">
      <c r="A19" t="s">
        <v>125</v>
      </c>
      <c r="B19" s="3">
        <v>1743</v>
      </c>
      <c r="C19" s="3">
        <v>1</v>
      </c>
      <c r="J19" s="3">
        <v>0</v>
      </c>
      <c r="K19" t="s">
        <v>68</v>
      </c>
      <c r="M19" t="s">
        <v>125</v>
      </c>
      <c r="N19">
        <v>1741</v>
      </c>
      <c r="O19">
        <v>1</v>
      </c>
      <c r="V19">
        <v>0</v>
      </c>
      <c r="W19" t="s">
        <v>68</v>
      </c>
      <c r="Y19" t="b">
        <f t="shared" si="0"/>
        <v>1</v>
      </c>
    </row>
    <row r="20" spans="1:25" x14ac:dyDescent="0.25">
      <c r="A20" t="s">
        <v>125</v>
      </c>
      <c r="B20" s="3">
        <v>1743</v>
      </c>
      <c r="C20" s="3">
        <v>2</v>
      </c>
      <c r="J20" s="3">
        <v>0</v>
      </c>
      <c r="K20" t="s">
        <v>68</v>
      </c>
      <c r="M20" t="s">
        <v>125</v>
      </c>
      <c r="N20">
        <v>1741</v>
      </c>
      <c r="O20">
        <v>2</v>
      </c>
      <c r="V20">
        <v>0</v>
      </c>
      <c r="W20" t="s">
        <v>68</v>
      </c>
      <c r="Y20" t="b">
        <f t="shared" si="0"/>
        <v>1</v>
      </c>
    </row>
    <row r="21" spans="1:25" x14ac:dyDescent="0.25">
      <c r="A21" t="s">
        <v>125</v>
      </c>
      <c r="B21" s="3">
        <v>1743</v>
      </c>
      <c r="C21" s="3">
        <v>3</v>
      </c>
      <c r="D21" t="s">
        <v>91</v>
      </c>
      <c r="E21" t="s">
        <v>126</v>
      </c>
      <c r="F21" t="s">
        <v>127</v>
      </c>
      <c r="G21" s="3">
        <v>1</v>
      </c>
      <c r="H21" s="15">
        <v>29.666145362539851</v>
      </c>
      <c r="I21" s="4">
        <v>22</v>
      </c>
      <c r="J21" s="3">
        <v>0</v>
      </c>
      <c r="K21" t="s">
        <v>68</v>
      </c>
      <c r="M21" t="s">
        <v>125</v>
      </c>
      <c r="N21">
        <v>1741</v>
      </c>
      <c r="O21">
        <v>3</v>
      </c>
      <c r="P21" t="s">
        <v>91</v>
      </c>
      <c r="Q21" t="s">
        <v>126</v>
      </c>
      <c r="R21" t="s">
        <v>127</v>
      </c>
      <c r="S21">
        <v>1</v>
      </c>
      <c r="T21">
        <v>29.627599326360521</v>
      </c>
      <c r="U21">
        <v>22</v>
      </c>
      <c r="V21">
        <v>0</v>
      </c>
      <c r="W21" t="s">
        <v>68</v>
      </c>
      <c r="Y21" t="b">
        <f t="shared" si="0"/>
        <v>1</v>
      </c>
    </row>
    <row r="22" spans="1:25" x14ac:dyDescent="0.25">
      <c r="A22" t="s">
        <v>125</v>
      </c>
      <c r="B22" s="3">
        <v>1743</v>
      </c>
      <c r="C22" s="3">
        <v>4</v>
      </c>
      <c r="D22" t="s">
        <v>91</v>
      </c>
      <c r="E22" t="s">
        <v>128</v>
      </c>
      <c r="F22" t="s">
        <v>129</v>
      </c>
      <c r="G22" s="3">
        <v>2</v>
      </c>
      <c r="H22" s="15">
        <v>12.572084320727599</v>
      </c>
      <c r="I22" s="4">
        <v>12</v>
      </c>
      <c r="J22" s="3">
        <v>0</v>
      </c>
      <c r="K22" t="s">
        <v>68</v>
      </c>
      <c r="M22" t="s">
        <v>125</v>
      </c>
      <c r="N22">
        <v>1741</v>
      </c>
      <c r="O22">
        <v>4</v>
      </c>
      <c r="P22" t="s">
        <v>91</v>
      </c>
      <c r="Q22" t="s">
        <v>128</v>
      </c>
      <c r="R22" t="s">
        <v>129</v>
      </c>
      <c r="S22">
        <v>2</v>
      </c>
      <c r="T22">
        <v>12.55628086558152</v>
      </c>
      <c r="U22">
        <v>12</v>
      </c>
      <c r="V22">
        <v>0</v>
      </c>
      <c r="W22" t="s">
        <v>68</v>
      </c>
      <c r="Y22" t="b">
        <f t="shared" si="0"/>
        <v>1</v>
      </c>
    </row>
    <row r="23" spans="1:25" x14ac:dyDescent="0.25">
      <c r="A23" t="s">
        <v>125</v>
      </c>
      <c r="B23" s="3">
        <v>1743</v>
      </c>
      <c r="C23" s="3">
        <v>5</v>
      </c>
      <c r="D23" t="s">
        <v>91</v>
      </c>
      <c r="E23" t="s">
        <v>122</v>
      </c>
      <c r="F23" t="s">
        <v>123</v>
      </c>
      <c r="G23" s="3">
        <v>3</v>
      </c>
      <c r="H23" s="15">
        <v>10.85699349241847</v>
      </c>
      <c r="I23" s="4">
        <v>11</v>
      </c>
      <c r="J23" s="3">
        <v>0</v>
      </c>
      <c r="K23" t="s">
        <v>68</v>
      </c>
      <c r="M23" t="s">
        <v>125</v>
      </c>
      <c r="N23">
        <v>1741</v>
      </c>
      <c r="O23">
        <v>5</v>
      </c>
      <c r="P23" t="s">
        <v>91</v>
      </c>
      <c r="Q23" t="s">
        <v>122</v>
      </c>
      <c r="R23" t="s">
        <v>130</v>
      </c>
      <c r="S23">
        <v>3</v>
      </c>
      <c r="T23">
        <v>10.842889350240959</v>
      </c>
      <c r="U23">
        <v>11</v>
      </c>
      <c r="V23">
        <v>0</v>
      </c>
      <c r="W23" t="s">
        <v>68</v>
      </c>
      <c r="Y23" t="b">
        <f t="shared" si="0"/>
        <v>1</v>
      </c>
    </row>
    <row r="24" spans="1:25" x14ac:dyDescent="0.25">
      <c r="A24" t="s">
        <v>125</v>
      </c>
      <c r="B24" s="3">
        <v>1743</v>
      </c>
      <c r="C24" s="3">
        <v>6</v>
      </c>
      <c r="D24" t="s">
        <v>91</v>
      </c>
      <c r="E24" t="s">
        <v>131</v>
      </c>
      <c r="F24" t="s">
        <v>132</v>
      </c>
      <c r="G24" s="3">
        <v>4</v>
      </c>
      <c r="H24" s="15">
        <v>2.9386933992510071</v>
      </c>
      <c r="I24" s="4">
        <v>4</v>
      </c>
      <c r="J24" s="3">
        <v>0</v>
      </c>
      <c r="K24" t="s">
        <v>68</v>
      </c>
      <c r="M24" t="s">
        <v>125</v>
      </c>
      <c r="N24">
        <v>1741</v>
      </c>
      <c r="O24">
        <v>6</v>
      </c>
      <c r="P24" t="s">
        <v>91</v>
      </c>
      <c r="Q24" t="s">
        <v>131</v>
      </c>
      <c r="R24" t="s">
        <v>133</v>
      </c>
      <c r="S24">
        <v>4</v>
      </c>
      <c r="T24">
        <v>2.931626171245405</v>
      </c>
      <c r="U24">
        <v>4</v>
      </c>
      <c r="V24">
        <v>0</v>
      </c>
      <c r="W24" t="s">
        <v>68</v>
      </c>
      <c r="Y24" t="b">
        <f t="shared" si="0"/>
        <v>1</v>
      </c>
    </row>
    <row r="25" spans="1:25" x14ac:dyDescent="0.25">
      <c r="A25" t="s">
        <v>125</v>
      </c>
      <c r="B25" s="3">
        <v>1743</v>
      </c>
      <c r="C25" s="3">
        <v>7</v>
      </c>
      <c r="D25" t="s">
        <v>91</v>
      </c>
      <c r="E25" t="s">
        <v>134</v>
      </c>
      <c r="F25" t="s">
        <v>135</v>
      </c>
      <c r="G25" s="3">
        <v>5</v>
      </c>
      <c r="H25" s="15">
        <v>1.7895169847209511</v>
      </c>
      <c r="I25" s="4">
        <v>2</v>
      </c>
      <c r="J25" s="3">
        <v>0</v>
      </c>
      <c r="K25" t="s">
        <v>68</v>
      </c>
      <c r="M25" t="s">
        <v>125</v>
      </c>
      <c r="N25">
        <v>1741</v>
      </c>
      <c r="O25">
        <v>7</v>
      </c>
      <c r="P25" t="s">
        <v>91</v>
      </c>
      <c r="Q25" t="s">
        <v>134</v>
      </c>
      <c r="R25" t="s">
        <v>135</v>
      </c>
      <c r="S25">
        <v>5</v>
      </c>
      <c r="T25">
        <v>1.787002511635033</v>
      </c>
      <c r="U25">
        <v>2</v>
      </c>
      <c r="V25">
        <v>0</v>
      </c>
      <c r="W25" t="s">
        <v>68</v>
      </c>
      <c r="Y25" t="b">
        <f t="shared" si="0"/>
        <v>1</v>
      </c>
    </row>
    <row r="26" spans="1:25" x14ac:dyDescent="0.25">
      <c r="A26" t="s">
        <v>125</v>
      </c>
      <c r="B26" s="3">
        <v>1743</v>
      </c>
      <c r="C26" s="3">
        <v>8</v>
      </c>
      <c r="D26" t="s">
        <v>91</v>
      </c>
      <c r="E26" t="s">
        <v>136</v>
      </c>
      <c r="F26" t="s">
        <v>137</v>
      </c>
      <c r="G26" s="3">
        <v>6</v>
      </c>
      <c r="H26" s="15">
        <v>0.90974002311634627</v>
      </c>
      <c r="I26" s="4">
        <v>1</v>
      </c>
      <c r="J26" s="3">
        <v>0</v>
      </c>
      <c r="K26" t="s">
        <v>68</v>
      </c>
      <c r="M26" t="s">
        <v>125</v>
      </c>
      <c r="N26">
        <v>1741</v>
      </c>
      <c r="O26">
        <v>8</v>
      </c>
      <c r="P26" t="s">
        <v>91</v>
      </c>
      <c r="Q26" t="s">
        <v>136</v>
      </c>
      <c r="R26" t="s">
        <v>137</v>
      </c>
      <c r="S26">
        <v>6</v>
      </c>
      <c r="T26">
        <v>0.90854774394722082</v>
      </c>
      <c r="U26">
        <v>1</v>
      </c>
      <c r="V26">
        <v>0</v>
      </c>
      <c r="W26" t="s">
        <v>68</v>
      </c>
      <c r="Y26" t="b">
        <f t="shared" si="0"/>
        <v>1</v>
      </c>
    </row>
    <row r="27" spans="1:25" x14ac:dyDescent="0.25">
      <c r="A27" t="s">
        <v>125</v>
      </c>
      <c r="B27" s="3">
        <v>1743</v>
      </c>
      <c r="C27" s="3">
        <v>9</v>
      </c>
      <c r="D27" t="s">
        <v>91</v>
      </c>
      <c r="E27" t="s">
        <v>138</v>
      </c>
      <c r="F27" t="s">
        <v>139</v>
      </c>
      <c r="G27" s="3">
        <v>7</v>
      </c>
      <c r="H27" s="15">
        <v>0.77190334856977239</v>
      </c>
      <c r="I27" s="4">
        <v>1</v>
      </c>
      <c r="J27" s="3">
        <v>0</v>
      </c>
      <c r="K27" t="s">
        <v>68</v>
      </c>
      <c r="M27" t="s">
        <v>125</v>
      </c>
      <c r="N27">
        <v>1741</v>
      </c>
      <c r="O27">
        <v>9</v>
      </c>
      <c r="P27" t="s">
        <v>91</v>
      </c>
      <c r="Q27" t="s">
        <v>138</v>
      </c>
      <c r="R27" t="s">
        <v>139</v>
      </c>
      <c r="S27">
        <v>7</v>
      </c>
      <c r="T27">
        <v>0.7709056774061146</v>
      </c>
      <c r="U27">
        <v>1</v>
      </c>
      <c r="V27">
        <v>0</v>
      </c>
      <c r="W27" t="s">
        <v>68</v>
      </c>
      <c r="Y27" t="b">
        <f t="shared" si="0"/>
        <v>1</v>
      </c>
    </row>
    <row r="28" spans="1:25" x14ac:dyDescent="0.25">
      <c r="A28" t="s">
        <v>125</v>
      </c>
      <c r="B28" s="3">
        <v>1743</v>
      </c>
      <c r="C28" s="3">
        <v>10</v>
      </c>
      <c r="D28" t="s">
        <v>91</v>
      </c>
      <c r="E28" t="s">
        <v>140</v>
      </c>
      <c r="F28" t="s">
        <v>141</v>
      </c>
      <c r="G28" s="3">
        <v>8</v>
      </c>
      <c r="H28" s="15">
        <v>0.71101692560166985</v>
      </c>
      <c r="I28" s="4">
        <v>1</v>
      </c>
      <c r="J28" s="3">
        <v>0</v>
      </c>
      <c r="K28" t="s">
        <v>68</v>
      </c>
      <c r="M28" t="s">
        <v>125</v>
      </c>
      <c r="N28">
        <v>1741</v>
      </c>
      <c r="O28">
        <v>10</v>
      </c>
      <c r="P28" t="s">
        <v>91</v>
      </c>
      <c r="Q28" t="s">
        <v>140</v>
      </c>
      <c r="R28" t="s">
        <v>142</v>
      </c>
      <c r="S28">
        <v>8</v>
      </c>
      <c r="T28">
        <v>0.69824051744670501</v>
      </c>
      <c r="U28">
        <v>1</v>
      </c>
      <c r="V28">
        <v>0</v>
      </c>
      <c r="W28" t="s">
        <v>68</v>
      </c>
      <c r="Y28" t="b">
        <f t="shared" si="0"/>
        <v>1</v>
      </c>
    </row>
    <row r="29" spans="1:25" x14ac:dyDescent="0.25">
      <c r="A29" t="s">
        <v>125</v>
      </c>
      <c r="B29" s="3">
        <v>1743</v>
      </c>
      <c r="C29" s="3">
        <v>11</v>
      </c>
      <c r="D29" t="s">
        <v>91</v>
      </c>
      <c r="E29" t="s">
        <v>143</v>
      </c>
      <c r="F29" t="s">
        <v>144</v>
      </c>
      <c r="J29" s="3">
        <v>1</v>
      </c>
      <c r="K29" t="s">
        <v>68</v>
      </c>
      <c r="M29" t="s">
        <v>125</v>
      </c>
      <c r="N29">
        <v>1741</v>
      </c>
      <c r="O29">
        <v>11</v>
      </c>
      <c r="P29" t="s">
        <v>91</v>
      </c>
      <c r="Q29" t="s">
        <v>143</v>
      </c>
      <c r="R29" t="s">
        <v>145</v>
      </c>
      <c r="V29">
        <v>1</v>
      </c>
      <c r="W29" t="s">
        <v>68</v>
      </c>
      <c r="Y29" t="b">
        <f t="shared" si="0"/>
        <v>1</v>
      </c>
    </row>
    <row r="30" spans="1:25" x14ac:dyDescent="0.25">
      <c r="A30" t="s">
        <v>125</v>
      </c>
      <c r="B30" s="3">
        <v>1743</v>
      </c>
      <c r="C30" s="3">
        <v>12</v>
      </c>
      <c r="D30" t="s">
        <v>91</v>
      </c>
      <c r="E30" t="s">
        <v>116</v>
      </c>
      <c r="F30" t="s">
        <v>117</v>
      </c>
      <c r="J30" s="3">
        <v>1</v>
      </c>
      <c r="K30" t="s">
        <v>68</v>
      </c>
      <c r="M30" t="s">
        <v>125</v>
      </c>
      <c r="N30">
        <v>1741</v>
      </c>
      <c r="O30">
        <v>12</v>
      </c>
      <c r="P30" t="s">
        <v>91</v>
      </c>
      <c r="Q30" t="s">
        <v>94</v>
      </c>
      <c r="R30" t="s">
        <v>95</v>
      </c>
      <c r="V30">
        <v>1</v>
      </c>
      <c r="W30" t="s">
        <v>68</v>
      </c>
      <c r="Y30" t="b">
        <f t="shared" si="0"/>
        <v>0</v>
      </c>
    </row>
    <row r="33" spans="1:25" ht="15.75" x14ac:dyDescent="0.3">
      <c r="A33" s="12" t="s">
        <v>146</v>
      </c>
      <c r="M33" s="12" t="s">
        <v>146</v>
      </c>
    </row>
    <row r="34" spans="1:25" ht="30.75" thickBot="1" x14ac:dyDescent="0.3">
      <c r="A34" s="2" t="s">
        <v>80</v>
      </c>
      <c r="B34" s="2" t="s">
        <v>13</v>
      </c>
      <c r="C34" s="2" t="s">
        <v>81</v>
      </c>
      <c r="D34" s="2" t="s">
        <v>82</v>
      </c>
      <c r="E34" s="2" t="s">
        <v>83</v>
      </c>
      <c r="F34" s="2" t="s">
        <v>84</v>
      </c>
      <c r="G34" s="2" t="s">
        <v>85</v>
      </c>
      <c r="H34" s="2" t="s">
        <v>86</v>
      </c>
      <c r="I34" s="2" t="s">
        <v>87</v>
      </c>
      <c r="J34" s="2" t="s">
        <v>88</v>
      </c>
      <c r="K34" s="2" t="s">
        <v>89</v>
      </c>
      <c r="M34" s="2" t="s">
        <v>80</v>
      </c>
      <c r="N34" s="2" t="s">
        <v>13</v>
      </c>
      <c r="O34" s="2" t="s">
        <v>81</v>
      </c>
      <c r="P34" s="2" t="s">
        <v>82</v>
      </c>
      <c r="Q34" s="2" t="s">
        <v>83</v>
      </c>
      <c r="R34" s="2" t="s">
        <v>84</v>
      </c>
      <c r="S34" s="2" t="s">
        <v>85</v>
      </c>
      <c r="T34" s="2" t="s">
        <v>86</v>
      </c>
      <c r="U34" s="2" t="s">
        <v>87</v>
      </c>
      <c r="V34" s="2" t="s">
        <v>88</v>
      </c>
      <c r="W34" s="2" t="s">
        <v>89</v>
      </c>
    </row>
    <row r="35" spans="1:25" x14ac:dyDescent="0.25">
      <c r="A35" t="s">
        <v>147</v>
      </c>
      <c r="B35" s="3">
        <v>1745</v>
      </c>
      <c r="C35" s="3">
        <v>1</v>
      </c>
      <c r="D35" t="s">
        <v>91</v>
      </c>
      <c r="E35" t="s">
        <v>128</v>
      </c>
      <c r="F35" t="s">
        <v>148</v>
      </c>
      <c r="G35" s="3">
        <v>1</v>
      </c>
      <c r="H35" s="13">
        <v>7.3337158537577656</v>
      </c>
      <c r="I35" s="4">
        <v>7</v>
      </c>
      <c r="J35" s="3">
        <v>0</v>
      </c>
      <c r="K35" t="s">
        <v>68</v>
      </c>
      <c r="M35" t="s">
        <v>147</v>
      </c>
      <c r="N35">
        <v>1745</v>
      </c>
      <c r="O35">
        <v>1</v>
      </c>
      <c r="P35" t="s">
        <v>91</v>
      </c>
      <c r="Q35" t="s">
        <v>128</v>
      </c>
      <c r="R35" t="s">
        <v>129</v>
      </c>
      <c r="S35">
        <v>1</v>
      </c>
      <c r="T35">
        <v>7.3244971715892202</v>
      </c>
      <c r="U35">
        <v>7</v>
      </c>
      <c r="V35">
        <v>0</v>
      </c>
      <c r="W35" t="s">
        <v>68</v>
      </c>
      <c r="Y35" t="b">
        <f t="shared" si="0"/>
        <v>1</v>
      </c>
    </row>
    <row r="36" spans="1:25" x14ac:dyDescent="0.25">
      <c r="A36" t="s">
        <v>147</v>
      </c>
      <c r="B36" s="3">
        <v>1745</v>
      </c>
      <c r="C36" s="3">
        <v>2</v>
      </c>
      <c r="D36" t="s">
        <v>91</v>
      </c>
      <c r="E36" t="s">
        <v>149</v>
      </c>
      <c r="F36" t="s">
        <v>150</v>
      </c>
      <c r="G36" s="3">
        <v>2</v>
      </c>
      <c r="H36" s="13">
        <v>6.5086202304085772</v>
      </c>
      <c r="I36" s="4">
        <v>5</v>
      </c>
      <c r="J36" s="3">
        <v>0</v>
      </c>
      <c r="K36" t="s">
        <v>68</v>
      </c>
      <c r="M36" t="s">
        <v>147</v>
      </c>
      <c r="N36">
        <v>1745</v>
      </c>
      <c r="O36">
        <v>2</v>
      </c>
      <c r="P36" t="s">
        <v>91</v>
      </c>
      <c r="Q36" t="s">
        <v>149</v>
      </c>
      <c r="R36" t="s">
        <v>151</v>
      </c>
      <c r="S36">
        <v>2</v>
      </c>
      <c r="T36">
        <v>6.4997775670778806</v>
      </c>
      <c r="U36">
        <v>5</v>
      </c>
      <c r="V36">
        <v>0</v>
      </c>
      <c r="W36" t="s">
        <v>68</v>
      </c>
      <c r="Y36" t="b">
        <f t="shared" si="0"/>
        <v>1</v>
      </c>
    </row>
    <row r="37" spans="1:25" x14ac:dyDescent="0.25">
      <c r="A37" t="s">
        <v>147</v>
      </c>
      <c r="B37" s="3">
        <v>1745</v>
      </c>
      <c r="C37" s="3">
        <v>3</v>
      </c>
      <c r="D37" t="s">
        <v>91</v>
      </c>
      <c r="E37" t="s">
        <v>94</v>
      </c>
      <c r="F37" t="s">
        <v>95</v>
      </c>
      <c r="G37" s="3">
        <v>3</v>
      </c>
      <c r="H37" s="13">
        <v>5.4060713540239824</v>
      </c>
      <c r="I37" s="4">
        <v>4</v>
      </c>
      <c r="J37" s="3">
        <v>0</v>
      </c>
      <c r="K37" t="s">
        <v>68</v>
      </c>
      <c r="M37" t="s">
        <v>147</v>
      </c>
      <c r="N37">
        <v>1745</v>
      </c>
      <c r="O37">
        <v>3</v>
      </c>
      <c r="P37" t="s">
        <v>91</v>
      </c>
      <c r="Q37" t="s">
        <v>94</v>
      </c>
      <c r="R37" t="s">
        <v>95</v>
      </c>
      <c r="S37">
        <v>3</v>
      </c>
      <c r="T37">
        <v>5.4029546145583769</v>
      </c>
      <c r="U37">
        <v>4</v>
      </c>
      <c r="V37">
        <v>0</v>
      </c>
      <c r="W37" t="s">
        <v>68</v>
      </c>
      <c r="Y37" t="b">
        <f t="shared" si="0"/>
        <v>1</v>
      </c>
    </row>
    <row r="38" spans="1:25" x14ac:dyDescent="0.25">
      <c r="A38" t="s">
        <v>147</v>
      </c>
      <c r="B38" s="3">
        <v>1745</v>
      </c>
      <c r="C38" s="3">
        <v>4</v>
      </c>
      <c r="D38" t="s">
        <v>91</v>
      </c>
      <c r="E38" t="s">
        <v>126</v>
      </c>
      <c r="F38" t="s">
        <v>127</v>
      </c>
      <c r="G38" s="3">
        <v>4</v>
      </c>
      <c r="H38" s="13">
        <v>4.0453834585281614</v>
      </c>
      <c r="I38" s="4">
        <v>3</v>
      </c>
      <c r="J38" s="3">
        <v>0</v>
      </c>
      <c r="K38" t="s">
        <v>68</v>
      </c>
      <c r="M38" t="s">
        <v>147</v>
      </c>
      <c r="N38">
        <v>1745</v>
      </c>
      <c r="O38">
        <v>4</v>
      </c>
      <c r="P38" t="s">
        <v>91</v>
      </c>
      <c r="Q38" t="s">
        <v>126</v>
      </c>
      <c r="R38" t="s">
        <v>152</v>
      </c>
      <c r="S38">
        <v>4</v>
      </c>
      <c r="T38">
        <v>4.0401271808673433</v>
      </c>
      <c r="U38">
        <v>3</v>
      </c>
      <c r="V38">
        <v>0</v>
      </c>
      <c r="W38" t="s">
        <v>68</v>
      </c>
      <c r="Y38" t="b">
        <f t="shared" si="0"/>
        <v>1</v>
      </c>
    </row>
    <row r="39" spans="1:25" x14ac:dyDescent="0.25">
      <c r="A39" t="s">
        <v>147</v>
      </c>
      <c r="B39" s="3">
        <v>1745</v>
      </c>
      <c r="C39" s="3">
        <v>5</v>
      </c>
      <c r="D39" t="s">
        <v>91</v>
      </c>
      <c r="E39" t="s">
        <v>153</v>
      </c>
      <c r="F39" t="s">
        <v>154</v>
      </c>
      <c r="G39" s="3">
        <v>5</v>
      </c>
      <c r="H39" s="13">
        <v>3.9694295625693692</v>
      </c>
      <c r="I39" s="4">
        <v>3</v>
      </c>
      <c r="J39" s="3">
        <v>0</v>
      </c>
      <c r="K39" t="s">
        <v>68</v>
      </c>
      <c r="M39" t="s">
        <v>147</v>
      </c>
      <c r="N39">
        <v>1745</v>
      </c>
      <c r="O39">
        <v>5</v>
      </c>
      <c r="P39" t="s">
        <v>91</v>
      </c>
      <c r="Q39" t="s">
        <v>153</v>
      </c>
      <c r="R39" t="s">
        <v>154</v>
      </c>
      <c r="S39">
        <v>5</v>
      </c>
      <c r="T39">
        <v>3.9642522779266902</v>
      </c>
      <c r="U39">
        <v>3</v>
      </c>
      <c r="V39">
        <v>0</v>
      </c>
      <c r="W39" t="s">
        <v>68</v>
      </c>
      <c r="Y39" t="b">
        <f t="shared" si="0"/>
        <v>1</v>
      </c>
    </row>
    <row r="40" spans="1:25" x14ac:dyDescent="0.25">
      <c r="A40" t="s">
        <v>147</v>
      </c>
      <c r="B40" s="3">
        <v>1745</v>
      </c>
      <c r="C40" s="3">
        <v>6</v>
      </c>
      <c r="D40" t="s">
        <v>91</v>
      </c>
      <c r="E40" t="s">
        <v>104</v>
      </c>
      <c r="F40" t="s">
        <v>105</v>
      </c>
      <c r="G40" s="3">
        <v>6</v>
      </c>
      <c r="H40" s="13">
        <v>3.4390378118090461</v>
      </c>
      <c r="I40" s="4">
        <v>3</v>
      </c>
      <c r="J40" s="3">
        <v>0</v>
      </c>
      <c r="K40" t="s">
        <v>68</v>
      </c>
      <c r="M40" t="s">
        <v>147</v>
      </c>
      <c r="N40">
        <v>1745</v>
      </c>
      <c r="O40">
        <v>6</v>
      </c>
      <c r="P40" t="s">
        <v>91</v>
      </c>
      <c r="Q40" t="s">
        <v>104</v>
      </c>
      <c r="R40" t="s">
        <v>105</v>
      </c>
      <c r="S40">
        <v>6</v>
      </c>
      <c r="T40">
        <v>3.4345391986091718</v>
      </c>
      <c r="U40">
        <v>3</v>
      </c>
      <c r="V40">
        <v>0</v>
      </c>
      <c r="W40" t="s">
        <v>68</v>
      </c>
      <c r="Y40" t="b">
        <f t="shared" si="0"/>
        <v>1</v>
      </c>
    </row>
    <row r="41" spans="1:25" x14ac:dyDescent="0.25">
      <c r="A41" t="s">
        <v>147</v>
      </c>
      <c r="B41" s="3">
        <v>1745</v>
      </c>
      <c r="C41" s="3">
        <v>7</v>
      </c>
      <c r="D41" t="s">
        <v>91</v>
      </c>
      <c r="E41" t="s">
        <v>118</v>
      </c>
      <c r="F41" t="s">
        <v>119</v>
      </c>
      <c r="G41" s="3">
        <v>7</v>
      </c>
      <c r="H41" s="13">
        <v>3.280702496339043</v>
      </c>
      <c r="I41" s="4">
        <v>3</v>
      </c>
      <c r="J41" s="3">
        <v>0</v>
      </c>
      <c r="K41" t="s">
        <v>68</v>
      </c>
      <c r="M41" t="s">
        <v>147</v>
      </c>
      <c r="N41">
        <v>1745</v>
      </c>
      <c r="O41">
        <v>7</v>
      </c>
      <c r="P41" t="s">
        <v>91</v>
      </c>
      <c r="Q41" t="s">
        <v>118</v>
      </c>
      <c r="R41" t="s">
        <v>119</v>
      </c>
      <c r="S41">
        <v>7</v>
      </c>
      <c r="T41">
        <v>3.2764561294812959</v>
      </c>
      <c r="U41">
        <v>3</v>
      </c>
      <c r="V41">
        <v>0</v>
      </c>
      <c r="W41" t="s">
        <v>68</v>
      </c>
      <c r="Y41" t="b">
        <f t="shared" si="0"/>
        <v>1</v>
      </c>
    </row>
    <row r="42" spans="1:25" x14ac:dyDescent="0.25">
      <c r="A42" t="s">
        <v>147</v>
      </c>
      <c r="B42" s="3">
        <v>1745</v>
      </c>
      <c r="C42" s="3">
        <v>8</v>
      </c>
      <c r="D42" t="s">
        <v>91</v>
      </c>
      <c r="E42" t="s">
        <v>155</v>
      </c>
      <c r="F42" t="s">
        <v>156</v>
      </c>
      <c r="G42" s="3">
        <v>8</v>
      </c>
      <c r="H42" s="13">
        <v>3.176506320983536</v>
      </c>
      <c r="I42" s="4">
        <v>3</v>
      </c>
      <c r="J42" s="3">
        <v>0</v>
      </c>
      <c r="K42" t="s">
        <v>68</v>
      </c>
      <c r="M42" t="s">
        <v>147</v>
      </c>
      <c r="N42">
        <v>1745</v>
      </c>
      <c r="O42">
        <v>8</v>
      </c>
      <c r="P42" t="s">
        <v>91</v>
      </c>
      <c r="Q42" t="s">
        <v>155</v>
      </c>
      <c r="R42" t="s">
        <v>157</v>
      </c>
      <c r="S42">
        <v>8</v>
      </c>
      <c r="T42">
        <v>3.1737718050464521</v>
      </c>
      <c r="U42">
        <v>3</v>
      </c>
      <c r="V42">
        <v>0</v>
      </c>
      <c r="W42" t="s">
        <v>68</v>
      </c>
      <c r="Y42" t="b">
        <f t="shared" si="0"/>
        <v>1</v>
      </c>
    </row>
    <row r="43" spans="1:25" x14ac:dyDescent="0.25">
      <c r="A43" t="s">
        <v>147</v>
      </c>
      <c r="B43" s="3">
        <v>1745</v>
      </c>
      <c r="C43" s="3">
        <v>9</v>
      </c>
      <c r="D43" t="s">
        <v>91</v>
      </c>
      <c r="E43" t="s">
        <v>158</v>
      </c>
      <c r="F43" t="s">
        <v>159</v>
      </c>
      <c r="G43" s="3">
        <v>9</v>
      </c>
      <c r="H43" s="13">
        <v>2.6238493102802991</v>
      </c>
      <c r="I43" s="4">
        <v>2</v>
      </c>
      <c r="J43" s="3">
        <v>0</v>
      </c>
      <c r="K43" t="s">
        <v>68</v>
      </c>
      <c r="M43" t="s">
        <v>147</v>
      </c>
      <c r="N43">
        <v>1745</v>
      </c>
      <c r="O43">
        <v>9</v>
      </c>
      <c r="P43" t="s">
        <v>91</v>
      </c>
      <c r="Q43" t="s">
        <v>158</v>
      </c>
      <c r="R43" t="s">
        <v>160</v>
      </c>
      <c r="S43">
        <v>9</v>
      </c>
      <c r="T43">
        <v>2.620462477937989</v>
      </c>
      <c r="U43">
        <v>2</v>
      </c>
      <c r="V43">
        <v>0</v>
      </c>
      <c r="W43" t="s">
        <v>68</v>
      </c>
      <c r="Y43" t="b">
        <f t="shared" si="0"/>
        <v>1</v>
      </c>
    </row>
    <row r="44" spans="1:25" x14ac:dyDescent="0.25">
      <c r="A44" t="s">
        <v>147</v>
      </c>
      <c r="B44" s="3">
        <v>1745</v>
      </c>
      <c r="C44" s="3">
        <v>10</v>
      </c>
      <c r="D44" t="s">
        <v>91</v>
      </c>
      <c r="E44" t="s">
        <v>161</v>
      </c>
      <c r="F44" t="s">
        <v>162</v>
      </c>
      <c r="G44" s="3">
        <v>10</v>
      </c>
      <c r="H44" s="13">
        <v>2.427504487083036</v>
      </c>
      <c r="I44" s="4">
        <v>2</v>
      </c>
      <c r="J44" s="3">
        <v>0</v>
      </c>
      <c r="K44" t="s">
        <v>68</v>
      </c>
      <c r="M44" t="s">
        <v>147</v>
      </c>
      <c r="N44">
        <v>1745</v>
      </c>
      <c r="O44">
        <v>10</v>
      </c>
      <c r="P44" t="s">
        <v>91</v>
      </c>
      <c r="Q44" t="s">
        <v>161</v>
      </c>
      <c r="R44" t="s">
        <v>162</v>
      </c>
      <c r="S44">
        <v>10</v>
      </c>
      <c r="T44">
        <v>2.4240882075131882</v>
      </c>
      <c r="U44">
        <v>2</v>
      </c>
      <c r="V44">
        <v>0</v>
      </c>
      <c r="W44" t="s">
        <v>68</v>
      </c>
      <c r="Y44" t="b">
        <f t="shared" si="0"/>
        <v>1</v>
      </c>
    </row>
    <row r="45" spans="1:25" x14ac:dyDescent="0.25">
      <c r="A45" t="s">
        <v>147</v>
      </c>
      <c r="B45" s="3">
        <v>1745</v>
      </c>
      <c r="C45" s="3">
        <v>11</v>
      </c>
      <c r="D45" t="s">
        <v>91</v>
      </c>
      <c r="E45" t="s">
        <v>163</v>
      </c>
      <c r="F45" t="s">
        <v>164</v>
      </c>
      <c r="G45" s="3">
        <v>11</v>
      </c>
      <c r="H45" s="13">
        <v>2.330917353440181</v>
      </c>
      <c r="I45" s="4">
        <v>3</v>
      </c>
      <c r="J45" s="3">
        <v>0</v>
      </c>
      <c r="K45" t="s">
        <v>68</v>
      </c>
      <c r="M45" t="s">
        <v>147</v>
      </c>
      <c r="N45">
        <v>1745</v>
      </c>
      <c r="O45">
        <v>11</v>
      </c>
      <c r="P45" t="s">
        <v>91</v>
      </c>
      <c r="Q45" t="s">
        <v>163</v>
      </c>
      <c r="R45" t="s">
        <v>165</v>
      </c>
      <c r="S45">
        <v>11</v>
      </c>
      <c r="T45">
        <v>2.327885905626367</v>
      </c>
      <c r="U45">
        <v>3</v>
      </c>
      <c r="V45">
        <v>0</v>
      </c>
      <c r="W45" t="s">
        <v>68</v>
      </c>
      <c r="Y45" t="b">
        <f t="shared" si="0"/>
        <v>1</v>
      </c>
    </row>
    <row r="46" spans="1:25" x14ac:dyDescent="0.25">
      <c r="A46" t="s">
        <v>147</v>
      </c>
      <c r="B46" s="3">
        <v>1745</v>
      </c>
      <c r="C46" s="3">
        <v>12</v>
      </c>
      <c r="D46" t="s">
        <v>91</v>
      </c>
      <c r="E46" t="s">
        <v>106</v>
      </c>
      <c r="F46" t="s">
        <v>107</v>
      </c>
      <c r="G46" s="3">
        <v>12</v>
      </c>
      <c r="H46" s="13">
        <v>1.553080749162725</v>
      </c>
      <c r="I46" s="4">
        <v>2</v>
      </c>
      <c r="J46" s="3">
        <v>0</v>
      </c>
      <c r="K46" t="s">
        <v>68</v>
      </c>
      <c r="M46" t="s">
        <v>147</v>
      </c>
      <c r="N46">
        <v>1745</v>
      </c>
      <c r="O46">
        <v>12</v>
      </c>
      <c r="P46" t="s">
        <v>91</v>
      </c>
      <c r="Q46" t="s">
        <v>106</v>
      </c>
      <c r="R46" t="s">
        <v>107</v>
      </c>
      <c r="S46">
        <v>12</v>
      </c>
      <c r="T46">
        <v>1.551073684810989</v>
      </c>
      <c r="U46">
        <v>2</v>
      </c>
      <c r="V46">
        <v>0</v>
      </c>
      <c r="W46" t="s">
        <v>68</v>
      </c>
      <c r="Y46" t="b">
        <f t="shared" si="0"/>
        <v>1</v>
      </c>
    </row>
    <row r="49" spans="1:25" ht="15.75" x14ac:dyDescent="0.3">
      <c r="A49" s="12" t="s">
        <v>166</v>
      </c>
      <c r="M49" s="12" t="s">
        <v>166</v>
      </c>
    </row>
    <row r="50" spans="1:25" ht="30.75" thickBot="1" x14ac:dyDescent="0.3">
      <c r="A50" s="2" t="s">
        <v>80</v>
      </c>
      <c r="B50" s="2" t="s">
        <v>13</v>
      </c>
      <c r="C50" s="2" t="s">
        <v>81</v>
      </c>
      <c r="D50" s="2" t="s">
        <v>82</v>
      </c>
      <c r="E50" s="2" t="s">
        <v>83</v>
      </c>
      <c r="F50" s="2" t="s">
        <v>84</v>
      </c>
      <c r="G50" s="2" t="s">
        <v>85</v>
      </c>
      <c r="H50" s="2" t="s">
        <v>86</v>
      </c>
      <c r="I50" s="2" t="s">
        <v>87</v>
      </c>
      <c r="J50" s="2" t="s">
        <v>88</v>
      </c>
      <c r="K50" s="2" t="s">
        <v>89</v>
      </c>
      <c r="M50" s="2" t="s">
        <v>80</v>
      </c>
      <c r="N50" s="2" t="s">
        <v>13</v>
      </c>
      <c r="O50" s="2" t="s">
        <v>81</v>
      </c>
      <c r="P50" s="2" t="s">
        <v>82</v>
      </c>
      <c r="Q50" s="2" t="s">
        <v>83</v>
      </c>
      <c r="R50" s="2" t="s">
        <v>84</v>
      </c>
      <c r="S50" s="2" t="s">
        <v>85</v>
      </c>
      <c r="T50" s="2" t="s">
        <v>86</v>
      </c>
      <c r="U50" s="2" t="s">
        <v>87</v>
      </c>
      <c r="V50" s="2" t="s">
        <v>88</v>
      </c>
      <c r="W50" s="2" t="s">
        <v>89</v>
      </c>
    </row>
    <row r="51" spans="1:25" x14ac:dyDescent="0.25">
      <c r="A51" t="s">
        <v>167</v>
      </c>
      <c r="B51" s="3">
        <v>1740</v>
      </c>
      <c r="C51" s="3">
        <v>1</v>
      </c>
      <c r="J51" s="3">
        <v>0</v>
      </c>
      <c r="K51" t="s">
        <v>68</v>
      </c>
      <c r="M51" t="s">
        <v>167</v>
      </c>
      <c r="N51">
        <v>1744</v>
      </c>
      <c r="O51">
        <v>1</v>
      </c>
      <c r="V51">
        <v>0</v>
      </c>
      <c r="W51" t="s">
        <v>68</v>
      </c>
      <c r="Y51" t="b">
        <f t="shared" si="0"/>
        <v>1</v>
      </c>
    </row>
    <row r="52" spans="1:25" x14ac:dyDescent="0.25">
      <c r="A52" t="s">
        <v>167</v>
      </c>
      <c r="B52" s="3">
        <v>1740</v>
      </c>
      <c r="C52" s="3">
        <v>2</v>
      </c>
      <c r="J52" s="3">
        <v>0</v>
      </c>
      <c r="K52" t="s">
        <v>68</v>
      </c>
      <c r="M52" t="s">
        <v>167</v>
      </c>
      <c r="N52">
        <v>1744</v>
      </c>
      <c r="O52">
        <v>2</v>
      </c>
      <c r="V52">
        <v>0</v>
      </c>
      <c r="W52" t="s">
        <v>68</v>
      </c>
      <c r="Y52" t="b">
        <f t="shared" si="0"/>
        <v>1</v>
      </c>
    </row>
    <row r="53" spans="1:25" x14ac:dyDescent="0.25">
      <c r="A53" t="s">
        <v>167</v>
      </c>
      <c r="B53" s="3">
        <v>1740</v>
      </c>
      <c r="C53" s="3">
        <v>3</v>
      </c>
      <c r="D53" t="s">
        <v>91</v>
      </c>
      <c r="E53" t="s">
        <v>168</v>
      </c>
      <c r="F53" t="s">
        <v>169</v>
      </c>
      <c r="G53" s="3">
        <v>1</v>
      </c>
      <c r="H53" s="14">
        <v>1.906844298789641</v>
      </c>
      <c r="I53" s="4">
        <v>2</v>
      </c>
      <c r="J53" s="3">
        <v>0</v>
      </c>
      <c r="K53" t="s">
        <v>68</v>
      </c>
      <c r="M53" t="s">
        <v>167</v>
      </c>
      <c r="N53">
        <v>1744</v>
      </c>
      <c r="O53">
        <v>3</v>
      </c>
      <c r="P53" t="s">
        <v>91</v>
      </c>
      <c r="Q53" t="s">
        <v>168</v>
      </c>
      <c r="R53" t="s">
        <v>169</v>
      </c>
      <c r="S53">
        <v>1</v>
      </c>
      <c r="T53">
        <v>1.9043836952160871</v>
      </c>
      <c r="U53">
        <v>2</v>
      </c>
      <c r="V53">
        <v>0</v>
      </c>
      <c r="W53" t="s">
        <v>68</v>
      </c>
      <c r="Y53" t="b">
        <f t="shared" si="0"/>
        <v>1</v>
      </c>
    </row>
    <row r="54" spans="1:25" x14ac:dyDescent="0.25">
      <c r="A54" t="s">
        <v>167</v>
      </c>
      <c r="B54" s="3">
        <v>1740</v>
      </c>
      <c r="C54" s="3">
        <v>4</v>
      </c>
      <c r="D54" t="s">
        <v>91</v>
      </c>
      <c r="E54" t="s">
        <v>170</v>
      </c>
      <c r="F54" t="s">
        <v>171</v>
      </c>
      <c r="G54" s="3">
        <v>2</v>
      </c>
      <c r="H54" s="14">
        <v>1.8077229004677839</v>
      </c>
      <c r="I54" s="4">
        <v>3</v>
      </c>
      <c r="J54" s="3">
        <v>0</v>
      </c>
      <c r="K54" t="s">
        <v>68</v>
      </c>
      <c r="M54" t="s">
        <v>167</v>
      </c>
      <c r="N54">
        <v>1744</v>
      </c>
      <c r="O54">
        <v>4</v>
      </c>
      <c r="P54" t="s">
        <v>91</v>
      </c>
      <c r="Q54" t="s">
        <v>170</v>
      </c>
      <c r="R54" t="s">
        <v>171</v>
      </c>
      <c r="S54">
        <v>2</v>
      </c>
      <c r="T54">
        <v>1.8047952668289231</v>
      </c>
      <c r="U54">
        <v>3</v>
      </c>
      <c r="V54">
        <v>0</v>
      </c>
      <c r="W54" t="s">
        <v>68</v>
      </c>
      <c r="Y54" t="b">
        <f t="shared" si="0"/>
        <v>1</v>
      </c>
    </row>
    <row r="55" spans="1:25" x14ac:dyDescent="0.25">
      <c r="A55" t="s">
        <v>167</v>
      </c>
      <c r="B55" s="3">
        <v>1740</v>
      </c>
      <c r="C55" s="3">
        <v>5</v>
      </c>
      <c r="D55" t="s">
        <v>91</v>
      </c>
      <c r="E55" t="s">
        <v>172</v>
      </c>
      <c r="F55" t="s">
        <v>173</v>
      </c>
      <c r="G55" s="3">
        <v>3</v>
      </c>
      <c r="H55" s="14">
        <v>1.7079612397073081</v>
      </c>
      <c r="I55" s="4">
        <v>2</v>
      </c>
      <c r="J55" s="3">
        <v>0</v>
      </c>
      <c r="K55" t="s">
        <v>68</v>
      </c>
      <c r="M55" t="s">
        <v>167</v>
      </c>
      <c r="N55">
        <v>1744</v>
      </c>
      <c r="O55">
        <v>5</v>
      </c>
      <c r="P55" t="s">
        <v>91</v>
      </c>
      <c r="Q55" t="s">
        <v>172</v>
      </c>
      <c r="R55" t="s">
        <v>174</v>
      </c>
      <c r="S55">
        <v>3</v>
      </c>
      <c r="T55">
        <v>1.7057405359578031</v>
      </c>
      <c r="U55">
        <v>2</v>
      </c>
      <c r="V55">
        <v>0</v>
      </c>
      <c r="W55" t="s">
        <v>68</v>
      </c>
      <c r="Y55" t="b">
        <f t="shared" si="0"/>
        <v>1</v>
      </c>
    </row>
    <row r="56" spans="1:25" x14ac:dyDescent="0.25">
      <c r="A56" t="s">
        <v>167</v>
      </c>
      <c r="B56" s="3">
        <v>1740</v>
      </c>
      <c r="C56" s="3">
        <v>6</v>
      </c>
      <c r="D56" t="s">
        <v>91</v>
      </c>
      <c r="E56" t="s">
        <v>175</v>
      </c>
      <c r="F56" t="s">
        <v>176</v>
      </c>
      <c r="G56" s="3">
        <v>4</v>
      </c>
      <c r="H56" s="14">
        <v>1.213178211012347</v>
      </c>
      <c r="I56" s="4">
        <v>1</v>
      </c>
      <c r="J56" s="3">
        <v>0</v>
      </c>
      <c r="K56" t="s">
        <v>68</v>
      </c>
      <c r="M56" t="s">
        <v>167</v>
      </c>
      <c r="N56">
        <v>1744</v>
      </c>
      <c r="O56">
        <v>6</v>
      </c>
      <c r="P56" t="s">
        <v>91</v>
      </c>
      <c r="Q56" t="s">
        <v>175</v>
      </c>
      <c r="R56" t="s">
        <v>176</v>
      </c>
      <c r="S56">
        <v>4</v>
      </c>
      <c r="T56">
        <v>1.2115387616316</v>
      </c>
      <c r="U56">
        <v>1</v>
      </c>
      <c r="V56">
        <v>0</v>
      </c>
      <c r="W56" t="s">
        <v>68</v>
      </c>
      <c r="Y56" t="b">
        <f t="shared" si="0"/>
        <v>1</v>
      </c>
    </row>
    <row r="57" spans="1:25" x14ac:dyDescent="0.25">
      <c r="A57" t="s">
        <v>167</v>
      </c>
      <c r="B57" s="3">
        <v>1740</v>
      </c>
      <c r="C57" s="3">
        <v>7</v>
      </c>
      <c r="D57" t="s">
        <v>91</v>
      </c>
      <c r="E57" t="s">
        <v>177</v>
      </c>
      <c r="F57" t="s">
        <v>178</v>
      </c>
      <c r="G57" s="3">
        <v>5</v>
      </c>
      <c r="H57" s="14">
        <v>1.1034663409818619</v>
      </c>
      <c r="I57" s="4">
        <v>1</v>
      </c>
      <c r="J57" s="3">
        <v>0</v>
      </c>
      <c r="K57" t="s">
        <v>68</v>
      </c>
      <c r="M57" t="s">
        <v>167</v>
      </c>
      <c r="N57">
        <v>1744</v>
      </c>
      <c r="O57">
        <v>7</v>
      </c>
      <c r="P57" t="s">
        <v>91</v>
      </c>
      <c r="Q57" t="s">
        <v>177</v>
      </c>
      <c r="R57" t="s">
        <v>178</v>
      </c>
      <c r="S57">
        <v>5</v>
      </c>
      <c r="T57">
        <v>1.1019891336076351</v>
      </c>
      <c r="U57">
        <v>1</v>
      </c>
      <c r="V57">
        <v>0</v>
      </c>
      <c r="W57" t="s">
        <v>68</v>
      </c>
      <c r="Y57" t="b">
        <f t="shared" si="0"/>
        <v>1</v>
      </c>
    </row>
    <row r="58" spans="1:25" x14ac:dyDescent="0.25">
      <c r="A58" t="s">
        <v>167</v>
      </c>
      <c r="B58" s="3">
        <v>1740</v>
      </c>
      <c r="C58" s="3">
        <v>8</v>
      </c>
      <c r="D58" t="s">
        <v>91</v>
      </c>
      <c r="E58" t="s">
        <v>126</v>
      </c>
      <c r="F58" t="s">
        <v>179</v>
      </c>
      <c r="G58" s="3">
        <v>6</v>
      </c>
      <c r="H58" s="14">
        <v>0.98450076815681231</v>
      </c>
      <c r="I58" s="4">
        <v>1</v>
      </c>
      <c r="J58" s="3">
        <v>0</v>
      </c>
      <c r="K58" t="s">
        <v>68</v>
      </c>
      <c r="M58" t="s">
        <v>167</v>
      </c>
      <c r="N58">
        <v>1744</v>
      </c>
      <c r="O58">
        <v>8</v>
      </c>
      <c r="P58" t="s">
        <v>91</v>
      </c>
      <c r="Q58" t="s">
        <v>126</v>
      </c>
      <c r="R58" t="s">
        <v>127</v>
      </c>
      <c r="S58">
        <v>6</v>
      </c>
      <c r="T58">
        <v>0.98326530189206729</v>
      </c>
      <c r="U58">
        <v>1</v>
      </c>
      <c r="V58">
        <v>0</v>
      </c>
      <c r="W58" t="s">
        <v>68</v>
      </c>
      <c r="Y58" t="b">
        <f t="shared" si="0"/>
        <v>1</v>
      </c>
    </row>
    <row r="59" spans="1:25" x14ac:dyDescent="0.25">
      <c r="A59" t="s">
        <v>167</v>
      </c>
      <c r="B59" s="3">
        <v>1740</v>
      </c>
      <c r="C59" s="3">
        <v>9</v>
      </c>
      <c r="D59" t="s">
        <v>91</v>
      </c>
      <c r="E59" t="s">
        <v>180</v>
      </c>
      <c r="F59" t="s">
        <v>181</v>
      </c>
      <c r="G59" s="3">
        <v>7</v>
      </c>
      <c r="H59" s="14">
        <v>0.86662455471823174</v>
      </c>
      <c r="I59" s="4">
        <v>1</v>
      </c>
      <c r="J59" s="3">
        <v>0</v>
      </c>
      <c r="K59" t="s">
        <v>68</v>
      </c>
      <c r="M59" t="s">
        <v>167</v>
      </c>
      <c r="N59">
        <v>1744</v>
      </c>
      <c r="O59">
        <v>9</v>
      </c>
      <c r="P59" t="s">
        <v>91</v>
      </c>
      <c r="Q59" t="s">
        <v>180</v>
      </c>
      <c r="R59" t="s">
        <v>182</v>
      </c>
      <c r="S59">
        <v>7</v>
      </c>
      <c r="T59">
        <v>0.86560869404935237</v>
      </c>
      <c r="U59">
        <v>1</v>
      </c>
      <c r="V59">
        <v>0</v>
      </c>
      <c r="W59" t="s">
        <v>68</v>
      </c>
      <c r="Y59" t="b">
        <f t="shared" si="0"/>
        <v>1</v>
      </c>
    </row>
    <row r="60" spans="1:25" x14ac:dyDescent="0.25">
      <c r="A60" t="s">
        <v>167</v>
      </c>
      <c r="B60" s="3">
        <v>1740</v>
      </c>
      <c r="C60" s="3">
        <v>10</v>
      </c>
      <c r="D60" t="s">
        <v>91</v>
      </c>
      <c r="E60" t="s">
        <v>138</v>
      </c>
      <c r="F60" t="s">
        <v>139</v>
      </c>
      <c r="G60" s="3">
        <v>8</v>
      </c>
      <c r="H60" s="14">
        <v>0.77190334856977239</v>
      </c>
      <c r="I60" s="4">
        <v>1</v>
      </c>
      <c r="J60" s="3">
        <v>0</v>
      </c>
      <c r="K60" t="s">
        <v>68</v>
      </c>
      <c r="M60" t="s">
        <v>167</v>
      </c>
      <c r="N60">
        <v>1744</v>
      </c>
      <c r="O60">
        <v>10</v>
      </c>
      <c r="P60" t="s">
        <v>91</v>
      </c>
      <c r="Q60" t="s">
        <v>138</v>
      </c>
      <c r="R60" t="s">
        <v>139</v>
      </c>
      <c r="S60">
        <v>8</v>
      </c>
      <c r="T60">
        <v>0.7709056774061146</v>
      </c>
      <c r="U60">
        <v>1</v>
      </c>
      <c r="V60">
        <v>0</v>
      </c>
      <c r="W60" t="s">
        <v>68</v>
      </c>
      <c r="Y60" t="b">
        <f t="shared" si="0"/>
        <v>1</v>
      </c>
    </row>
    <row r="61" spans="1:25" x14ac:dyDescent="0.25">
      <c r="A61" t="s">
        <v>167</v>
      </c>
      <c r="B61" s="3">
        <v>1740</v>
      </c>
      <c r="C61" s="3">
        <v>11</v>
      </c>
      <c r="D61" t="s">
        <v>91</v>
      </c>
      <c r="E61" t="s">
        <v>163</v>
      </c>
      <c r="F61" t="s">
        <v>183</v>
      </c>
      <c r="G61" s="3">
        <v>9</v>
      </c>
      <c r="H61" s="14">
        <v>0.72418780018146645</v>
      </c>
      <c r="I61" s="4">
        <v>1</v>
      </c>
      <c r="J61" s="3">
        <v>0</v>
      </c>
      <c r="K61" t="s">
        <v>68</v>
      </c>
      <c r="M61" t="s">
        <v>167</v>
      </c>
      <c r="N61">
        <v>1744</v>
      </c>
      <c r="O61">
        <v>11</v>
      </c>
      <c r="P61" t="s">
        <v>91</v>
      </c>
      <c r="Q61" t="s">
        <v>163</v>
      </c>
      <c r="R61" t="s">
        <v>184</v>
      </c>
      <c r="S61">
        <v>9</v>
      </c>
      <c r="T61">
        <v>0.72330869409309306</v>
      </c>
      <c r="U61">
        <v>1</v>
      </c>
      <c r="V61">
        <v>0</v>
      </c>
      <c r="W61" t="s">
        <v>68</v>
      </c>
      <c r="Y61" t="b">
        <f t="shared" si="0"/>
        <v>1</v>
      </c>
    </row>
    <row r="62" spans="1:25" x14ac:dyDescent="0.25">
      <c r="A62" t="s">
        <v>167</v>
      </c>
      <c r="B62" s="3">
        <v>1740</v>
      </c>
      <c r="C62" s="3">
        <v>12</v>
      </c>
      <c r="D62" t="s">
        <v>91</v>
      </c>
      <c r="E62" t="s">
        <v>185</v>
      </c>
      <c r="F62" t="s">
        <v>186</v>
      </c>
      <c r="G62" s="3">
        <v>10</v>
      </c>
      <c r="H62" s="14">
        <v>0.69085366410604254</v>
      </c>
      <c r="I62" s="4">
        <v>1</v>
      </c>
      <c r="J62" s="3">
        <v>0</v>
      </c>
      <c r="K62" t="s">
        <v>68</v>
      </c>
      <c r="M62" t="s">
        <v>167</v>
      </c>
      <c r="N62">
        <v>1744</v>
      </c>
      <c r="O62">
        <v>12</v>
      </c>
      <c r="P62" t="s">
        <v>91</v>
      </c>
      <c r="Q62" t="s">
        <v>185</v>
      </c>
      <c r="R62" t="s">
        <v>186</v>
      </c>
      <c r="S62">
        <v>10</v>
      </c>
      <c r="T62">
        <v>0.68984032328489309</v>
      </c>
      <c r="U62">
        <v>1</v>
      </c>
      <c r="V62">
        <v>0</v>
      </c>
      <c r="W62" t="s">
        <v>68</v>
      </c>
      <c r="Y62" t="b">
        <f t="shared" si="0"/>
        <v>1</v>
      </c>
    </row>
    <row r="65" spans="1:25" ht="15.75" x14ac:dyDescent="0.3">
      <c r="A65" s="12" t="s">
        <v>187</v>
      </c>
      <c r="M65" s="12" t="s">
        <v>187</v>
      </c>
    </row>
    <row r="66" spans="1:25" ht="30.75" thickBot="1" x14ac:dyDescent="0.3">
      <c r="A66" s="2" t="s">
        <v>80</v>
      </c>
      <c r="B66" s="2" t="s">
        <v>13</v>
      </c>
      <c r="C66" s="2" t="s">
        <v>81</v>
      </c>
      <c r="D66" s="2" t="s">
        <v>82</v>
      </c>
      <c r="E66" s="2" t="s">
        <v>83</v>
      </c>
      <c r="F66" s="2" t="s">
        <v>84</v>
      </c>
      <c r="G66" s="2" t="s">
        <v>85</v>
      </c>
      <c r="H66" s="2" t="s">
        <v>86</v>
      </c>
      <c r="I66" s="2" t="s">
        <v>87</v>
      </c>
      <c r="J66" s="2" t="s">
        <v>88</v>
      </c>
      <c r="K66" s="2" t="s">
        <v>89</v>
      </c>
      <c r="M66" s="2" t="s">
        <v>80</v>
      </c>
      <c r="N66" s="2" t="s">
        <v>13</v>
      </c>
      <c r="O66" s="2" t="s">
        <v>81</v>
      </c>
      <c r="P66" s="2" t="s">
        <v>82</v>
      </c>
      <c r="Q66" s="2" t="s">
        <v>83</v>
      </c>
      <c r="R66" s="2" t="s">
        <v>84</v>
      </c>
      <c r="S66" s="2" t="s">
        <v>85</v>
      </c>
      <c r="T66" s="2" t="s">
        <v>86</v>
      </c>
      <c r="U66" s="2" t="s">
        <v>87</v>
      </c>
      <c r="V66" s="2" t="s">
        <v>88</v>
      </c>
      <c r="W66" s="2" t="s">
        <v>89</v>
      </c>
    </row>
    <row r="67" spans="1:25" x14ac:dyDescent="0.25">
      <c r="A67" t="s">
        <v>188</v>
      </c>
      <c r="B67" s="3">
        <v>1745</v>
      </c>
      <c r="C67" s="3">
        <v>1</v>
      </c>
      <c r="D67" t="s">
        <v>91</v>
      </c>
      <c r="E67" t="s">
        <v>172</v>
      </c>
      <c r="F67" t="s">
        <v>189</v>
      </c>
      <c r="G67" s="3">
        <v>1</v>
      </c>
      <c r="H67" s="14">
        <v>6.81354206588398</v>
      </c>
      <c r="I67" s="4">
        <v>8</v>
      </c>
      <c r="J67" s="3">
        <v>0</v>
      </c>
      <c r="K67" t="s">
        <v>68</v>
      </c>
      <c r="M67" t="s">
        <v>188</v>
      </c>
      <c r="N67">
        <v>1745</v>
      </c>
      <c r="O67">
        <v>1</v>
      </c>
      <c r="P67" t="s">
        <v>91</v>
      </c>
      <c r="Q67" t="s">
        <v>172</v>
      </c>
      <c r="R67" t="s">
        <v>173</v>
      </c>
      <c r="S67">
        <v>1</v>
      </c>
      <c r="T67">
        <v>6.8045893055548392</v>
      </c>
      <c r="U67">
        <v>8</v>
      </c>
      <c r="V67">
        <v>0</v>
      </c>
      <c r="W67" t="s">
        <v>68</v>
      </c>
      <c r="Y67" t="b">
        <f t="shared" si="0"/>
        <v>1</v>
      </c>
    </row>
    <row r="68" spans="1:25" x14ac:dyDescent="0.25">
      <c r="A68" t="s">
        <v>188</v>
      </c>
      <c r="B68" s="3">
        <v>1745</v>
      </c>
      <c r="C68" s="3">
        <v>2</v>
      </c>
      <c r="D68" t="s">
        <v>91</v>
      </c>
      <c r="E68" t="s">
        <v>190</v>
      </c>
      <c r="F68" t="s">
        <v>191</v>
      </c>
      <c r="G68" s="3">
        <v>2</v>
      </c>
      <c r="H68" s="14">
        <v>4.743079861997554</v>
      </c>
      <c r="I68" s="4">
        <v>5</v>
      </c>
      <c r="J68" s="3">
        <v>0</v>
      </c>
      <c r="K68" t="s">
        <v>68</v>
      </c>
      <c r="M68" t="s">
        <v>188</v>
      </c>
      <c r="N68">
        <v>1745</v>
      </c>
      <c r="O68">
        <v>2</v>
      </c>
      <c r="P68" t="s">
        <v>91</v>
      </c>
      <c r="Q68" t="s">
        <v>190</v>
      </c>
      <c r="R68" t="s">
        <v>191</v>
      </c>
      <c r="S68">
        <v>2</v>
      </c>
      <c r="T68">
        <v>4.736877533135968</v>
      </c>
      <c r="U68">
        <v>5</v>
      </c>
      <c r="V68">
        <v>0</v>
      </c>
      <c r="W68" t="s">
        <v>68</v>
      </c>
      <c r="Y68" t="b">
        <f t="shared" ref="Y68:Y126" si="1">E68=Q68</f>
        <v>1</v>
      </c>
    </row>
    <row r="69" spans="1:25" x14ac:dyDescent="0.25">
      <c r="A69" t="s">
        <v>188</v>
      </c>
      <c r="B69" s="3">
        <v>1745</v>
      </c>
      <c r="C69" s="3">
        <v>3</v>
      </c>
      <c r="D69" t="s">
        <v>91</v>
      </c>
      <c r="E69" t="s">
        <v>192</v>
      </c>
      <c r="F69" t="s">
        <v>193</v>
      </c>
      <c r="G69" s="3">
        <v>3</v>
      </c>
      <c r="H69" s="14">
        <v>4.4885076105861099</v>
      </c>
      <c r="I69" s="4">
        <v>4</v>
      </c>
      <c r="J69" s="3">
        <v>0</v>
      </c>
      <c r="K69" t="s">
        <v>68</v>
      </c>
      <c r="M69" t="s">
        <v>188</v>
      </c>
      <c r="N69">
        <v>1745</v>
      </c>
      <c r="O69">
        <v>3</v>
      </c>
      <c r="P69" t="s">
        <v>91</v>
      </c>
      <c r="Q69" t="s">
        <v>192</v>
      </c>
      <c r="R69" t="s">
        <v>194</v>
      </c>
      <c r="S69">
        <v>3</v>
      </c>
      <c r="T69">
        <v>4.4824586769741002</v>
      </c>
      <c r="U69">
        <v>4</v>
      </c>
      <c r="V69">
        <v>0</v>
      </c>
      <c r="W69" t="s">
        <v>68</v>
      </c>
      <c r="Y69" t="b">
        <f t="shared" si="1"/>
        <v>1</v>
      </c>
    </row>
    <row r="70" spans="1:25" x14ac:dyDescent="0.25">
      <c r="A70" t="s">
        <v>188</v>
      </c>
      <c r="B70" s="3">
        <v>1745</v>
      </c>
      <c r="C70" s="3">
        <v>4</v>
      </c>
      <c r="D70" t="s">
        <v>91</v>
      </c>
      <c r="E70" t="s">
        <v>195</v>
      </c>
      <c r="F70" t="s">
        <v>196</v>
      </c>
      <c r="G70" s="3">
        <v>4</v>
      </c>
      <c r="H70" s="14">
        <v>4.4520294685724231</v>
      </c>
      <c r="I70" s="4">
        <v>7</v>
      </c>
      <c r="J70" s="3">
        <v>0</v>
      </c>
      <c r="K70" t="s">
        <v>68</v>
      </c>
      <c r="M70" t="s">
        <v>188</v>
      </c>
      <c r="N70">
        <v>1745</v>
      </c>
      <c r="O70">
        <v>4</v>
      </c>
      <c r="P70" t="s">
        <v>91</v>
      </c>
      <c r="Q70" t="s">
        <v>195</v>
      </c>
      <c r="R70" t="s">
        <v>197</v>
      </c>
      <c r="S70">
        <v>4</v>
      </c>
      <c r="T70">
        <v>4.4430329881218231</v>
      </c>
      <c r="U70">
        <v>7</v>
      </c>
      <c r="V70">
        <v>0</v>
      </c>
      <c r="W70" t="s">
        <v>68</v>
      </c>
      <c r="Y70" t="b">
        <f t="shared" si="1"/>
        <v>1</v>
      </c>
    </row>
    <row r="71" spans="1:25" x14ac:dyDescent="0.25">
      <c r="A71" t="s">
        <v>188</v>
      </c>
      <c r="B71" s="3">
        <v>1745</v>
      </c>
      <c r="C71" s="3">
        <v>5</v>
      </c>
      <c r="D71" t="s">
        <v>91</v>
      </c>
      <c r="E71" t="s">
        <v>198</v>
      </c>
      <c r="F71" t="s">
        <v>199</v>
      </c>
      <c r="G71" s="3">
        <v>5</v>
      </c>
      <c r="H71" s="14">
        <v>4.173726618551088</v>
      </c>
      <c r="I71" s="4">
        <v>4</v>
      </c>
      <c r="J71" s="3">
        <v>0</v>
      </c>
      <c r="K71" t="s">
        <v>68</v>
      </c>
      <c r="M71" t="s">
        <v>188</v>
      </c>
      <c r="N71">
        <v>1745</v>
      </c>
      <c r="O71">
        <v>5</v>
      </c>
      <c r="P71" t="s">
        <v>91</v>
      </c>
      <c r="Q71" t="s">
        <v>198</v>
      </c>
      <c r="R71" t="s">
        <v>199</v>
      </c>
      <c r="S71">
        <v>5</v>
      </c>
      <c r="T71">
        <v>4.168046312286541</v>
      </c>
      <c r="U71">
        <v>4</v>
      </c>
      <c r="V71">
        <v>0</v>
      </c>
      <c r="W71" t="s">
        <v>68</v>
      </c>
      <c r="Y71" t="b">
        <f t="shared" si="1"/>
        <v>1</v>
      </c>
    </row>
    <row r="72" spans="1:25" x14ac:dyDescent="0.25">
      <c r="A72" t="s">
        <v>188</v>
      </c>
      <c r="B72" s="3">
        <v>1745</v>
      </c>
      <c r="C72" s="3">
        <v>6</v>
      </c>
      <c r="D72" t="s">
        <v>91</v>
      </c>
      <c r="E72" t="s">
        <v>200</v>
      </c>
      <c r="F72" t="s">
        <v>201</v>
      </c>
      <c r="G72" s="3">
        <v>6</v>
      </c>
      <c r="H72" s="14">
        <v>3.4800623847497749</v>
      </c>
      <c r="I72" s="4">
        <v>4</v>
      </c>
      <c r="J72" s="3">
        <v>0</v>
      </c>
      <c r="K72" t="s">
        <v>68</v>
      </c>
      <c r="M72" t="s">
        <v>188</v>
      </c>
      <c r="N72">
        <v>1745</v>
      </c>
      <c r="O72">
        <v>6</v>
      </c>
      <c r="P72" t="s">
        <v>91</v>
      </c>
      <c r="Q72" t="s">
        <v>200</v>
      </c>
      <c r="R72" t="s">
        <v>202</v>
      </c>
      <c r="S72">
        <v>6</v>
      </c>
      <c r="T72">
        <v>3.4753852092957289</v>
      </c>
      <c r="U72">
        <v>4</v>
      </c>
      <c r="V72">
        <v>0</v>
      </c>
      <c r="W72" t="s">
        <v>68</v>
      </c>
      <c r="Y72" t="b">
        <f t="shared" si="1"/>
        <v>1</v>
      </c>
    </row>
    <row r="73" spans="1:25" x14ac:dyDescent="0.25">
      <c r="A73" t="s">
        <v>188</v>
      </c>
      <c r="B73" s="3">
        <v>1745</v>
      </c>
      <c r="C73" s="3">
        <v>7</v>
      </c>
      <c r="D73" t="s">
        <v>91</v>
      </c>
      <c r="E73" t="s">
        <v>203</v>
      </c>
      <c r="F73" t="s">
        <v>204</v>
      </c>
      <c r="G73" s="3">
        <v>7</v>
      </c>
      <c r="H73" s="14">
        <v>3.411542358604212</v>
      </c>
      <c r="I73" s="4">
        <v>3</v>
      </c>
      <c r="J73" s="3">
        <v>0</v>
      </c>
      <c r="K73" t="s">
        <v>68</v>
      </c>
      <c r="M73" t="s">
        <v>188</v>
      </c>
      <c r="N73">
        <v>1745</v>
      </c>
      <c r="O73">
        <v>7</v>
      </c>
      <c r="P73" t="s">
        <v>91</v>
      </c>
      <c r="Q73" t="s">
        <v>203</v>
      </c>
      <c r="R73" t="s">
        <v>204</v>
      </c>
      <c r="S73">
        <v>7</v>
      </c>
      <c r="T73">
        <v>3.4068944267324319</v>
      </c>
      <c r="U73">
        <v>3</v>
      </c>
      <c r="V73">
        <v>0</v>
      </c>
      <c r="W73" t="s">
        <v>68</v>
      </c>
      <c r="Y73" t="b">
        <f t="shared" si="1"/>
        <v>1</v>
      </c>
    </row>
    <row r="74" spans="1:25" x14ac:dyDescent="0.25">
      <c r="A74" t="s">
        <v>188</v>
      </c>
      <c r="B74" s="3">
        <v>1745</v>
      </c>
      <c r="C74" s="3">
        <v>8</v>
      </c>
      <c r="D74" t="s">
        <v>91</v>
      </c>
      <c r="E74" t="s">
        <v>205</v>
      </c>
      <c r="F74" t="s">
        <v>206</v>
      </c>
      <c r="G74" s="3">
        <v>8</v>
      </c>
      <c r="H74" s="14">
        <v>3.1432721200523712</v>
      </c>
      <c r="I74" s="4">
        <v>3</v>
      </c>
      <c r="J74" s="3">
        <v>0</v>
      </c>
      <c r="K74" t="s">
        <v>68</v>
      </c>
      <c r="M74" t="s">
        <v>188</v>
      </c>
      <c r="N74">
        <v>1745</v>
      </c>
      <c r="O74">
        <v>8</v>
      </c>
      <c r="P74" t="s">
        <v>91</v>
      </c>
      <c r="Q74" t="s">
        <v>205</v>
      </c>
      <c r="R74" t="s">
        <v>207</v>
      </c>
      <c r="S74">
        <v>8</v>
      </c>
      <c r="T74">
        <v>3.13903006791922</v>
      </c>
      <c r="U74">
        <v>3</v>
      </c>
      <c r="V74">
        <v>0</v>
      </c>
      <c r="W74" t="s">
        <v>68</v>
      </c>
      <c r="Y74" t="b">
        <f t="shared" si="1"/>
        <v>1</v>
      </c>
    </row>
    <row r="75" spans="1:25" x14ac:dyDescent="0.25">
      <c r="A75" t="s">
        <v>188</v>
      </c>
      <c r="B75" s="3">
        <v>1745</v>
      </c>
      <c r="C75" s="3">
        <v>9</v>
      </c>
      <c r="D75" t="s">
        <v>91</v>
      </c>
      <c r="E75" t="s">
        <v>208</v>
      </c>
      <c r="F75" t="s">
        <v>209</v>
      </c>
      <c r="G75" s="3">
        <v>9</v>
      </c>
      <c r="H75" s="14">
        <v>2</v>
      </c>
      <c r="I75" s="4">
        <v>2</v>
      </c>
      <c r="J75" s="3">
        <v>0</v>
      </c>
      <c r="K75" t="s">
        <v>68</v>
      </c>
      <c r="M75" t="s">
        <v>188</v>
      </c>
      <c r="N75">
        <v>1745</v>
      </c>
      <c r="O75">
        <v>9</v>
      </c>
      <c r="P75" t="s">
        <v>91</v>
      </c>
      <c r="Q75" t="s">
        <v>208</v>
      </c>
      <c r="R75" t="s">
        <v>209</v>
      </c>
      <c r="S75">
        <v>9</v>
      </c>
      <c r="T75">
        <v>2</v>
      </c>
      <c r="U75">
        <v>2</v>
      </c>
      <c r="V75">
        <v>0</v>
      </c>
      <c r="W75" t="s">
        <v>68</v>
      </c>
      <c r="Y75" t="b">
        <f t="shared" si="1"/>
        <v>1</v>
      </c>
    </row>
    <row r="76" spans="1:25" x14ac:dyDescent="0.25">
      <c r="A76" t="s">
        <v>188</v>
      </c>
      <c r="B76" s="3">
        <v>1745</v>
      </c>
      <c r="C76" s="3">
        <v>10</v>
      </c>
      <c r="D76" t="s">
        <v>91</v>
      </c>
      <c r="E76" t="s">
        <v>138</v>
      </c>
      <c r="F76" t="s">
        <v>139</v>
      </c>
      <c r="G76" s="3">
        <v>10</v>
      </c>
      <c r="H76" s="14">
        <v>1.543806697139545</v>
      </c>
      <c r="I76" s="4">
        <v>2</v>
      </c>
      <c r="J76" s="3">
        <v>0</v>
      </c>
      <c r="K76" t="s">
        <v>68</v>
      </c>
      <c r="M76" t="s">
        <v>188</v>
      </c>
      <c r="N76">
        <v>1745</v>
      </c>
      <c r="O76">
        <v>10</v>
      </c>
      <c r="P76" t="s">
        <v>91</v>
      </c>
      <c r="Q76" t="s">
        <v>138</v>
      </c>
      <c r="R76" t="s">
        <v>139</v>
      </c>
      <c r="S76">
        <v>10</v>
      </c>
      <c r="T76">
        <v>1.541811354812229</v>
      </c>
      <c r="U76">
        <v>2</v>
      </c>
      <c r="V76">
        <v>0</v>
      </c>
      <c r="W76" t="s">
        <v>68</v>
      </c>
      <c r="Y76" t="b">
        <f t="shared" si="1"/>
        <v>1</v>
      </c>
    </row>
    <row r="77" spans="1:25" x14ac:dyDescent="0.25">
      <c r="A77" t="s">
        <v>188</v>
      </c>
      <c r="B77" s="3">
        <v>1745</v>
      </c>
      <c r="C77" s="3">
        <v>11</v>
      </c>
      <c r="D77" t="s">
        <v>91</v>
      </c>
      <c r="E77" t="s">
        <v>210</v>
      </c>
      <c r="F77" t="s">
        <v>211</v>
      </c>
      <c r="G77" s="3">
        <v>11</v>
      </c>
      <c r="H77" s="14">
        <v>1.3279962066154261</v>
      </c>
      <c r="I77" s="4">
        <v>1</v>
      </c>
      <c r="J77" s="3">
        <v>0</v>
      </c>
      <c r="K77" t="s">
        <v>68</v>
      </c>
      <c r="M77" t="s">
        <v>188</v>
      </c>
      <c r="N77">
        <v>1745</v>
      </c>
      <c r="O77">
        <v>11</v>
      </c>
      <c r="P77" t="s">
        <v>91</v>
      </c>
      <c r="Q77" t="s">
        <v>210</v>
      </c>
      <c r="R77" t="s">
        <v>212</v>
      </c>
      <c r="S77">
        <v>11</v>
      </c>
      <c r="T77">
        <v>1.326312590782595</v>
      </c>
      <c r="U77">
        <v>1</v>
      </c>
      <c r="V77">
        <v>0</v>
      </c>
      <c r="W77" t="s">
        <v>68</v>
      </c>
      <c r="Y77" t="b">
        <f t="shared" si="1"/>
        <v>1</v>
      </c>
    </row>
    <row r="78" spans="1:25" x14ac:dyDescent="0.25">
      <c r="A78" t="s">
        <v>188</v>
      </c>
      <c r="B78" s="3">
        <v>1745</v>
      </c>
      <c r="C78" s="3">
        <v>12</v>
      </c>
      <c r="D78" t="s">
        <v>91</v>
      </c>
      <c r="E78" t="s">
        <v>104</v>
      </c>
      <c r="F78" t="s">
        <v>105</v>
      </c>
      <c r="G78" s="3">
        <v>12</v>
      </c>
      <c r="H78" s="14">
        <v>1.146345937269682</v>
      </c>
      <c r="I78" s="4">
        <v>1</v>
      </c>
      <c r="J78" s="3">
        <v>0</v>
      </c>
      <c r="K78" t="s">
        <v>68</v>
      </c>
      <c r="M78" t="s">
        <v>188</v>
      </c>
      <c r="N78">
        <v>1745</v>
      </c>
      <c r="O78">
        <v>12</v>
      </c>
      <c r="P78" t="s">
        <v>91</v>
      </c>
      <c r="Q78" t="s">
        <v>104</v>
      </c>
      <c r="R78" t="s">
        <v>105</v>
      </c>
      <c r="S78">
        <v>12</v>
      </c>
      <c r="T78">
        <v>1.1448463995363909</v>
      </c>
      <c r="U78">
        <v>1</v>
      </c>
      <c r="V78">
        <v>0</v>
      </c>
      <c r="W78" t="s">
        <v>68</v>
      </c>
      <c r="Y78" t="b">
        <f t="shared" si="1"/>
        <v>1</v>
      </c>
    </row>
    <row r="81" spans="1:25" ht="15.75" x14ac:dyDescent="0.3">
      <c r="A81" s="12" t="s">
        <v>213</v>
      </c>
      <c r="M81" s="12" t="s">
        <v>213</v>
      </c>
    </row>
    <row r="82" spans="1:25" ht="30.75" thickBot="1" x14ac:dyDescent="0.3">
      <c r="A82" s="2" t="s">
        <v>80</v>
      </c>
      <c r="B82" s="2" t="s">
        <v>13</v>
      </c>
      <c r="C82" s="2" t="s">
        <v>81</v>
      </c>
      <c r="D82" s="2" t="s">
        <v>82</v>
      </c>
      <c r="E82" s="2" t="s">
        <v>83</v>
      </c>
      <c r="F82" s="2" t="s">
        <v>84</v>
      </c>
      <c r="G82" s="2" t="s">
        <v>85</v>
      </c>
      <c r="H82" s="2" t="s">
        <v>86</v>
      </c>
      <c r="I82" s="2" t="s">
        <v>87</v>
      </c>
      <c r="J82" s="2" t="s">
        <v>88</v>
      </c>
      <c r="K82" s="2" t="s">
        <v>89</v>
      </c>
      <c r="M82" s="2" t="s">
        <v>80</v>
      </c>
      <c r="N82" s="2" t="s">
        <v>13</v>
      </c>
      <c r="O82" s="2" t="s">
        <v>81</v>
      </c>
      <c r="P82" s="2" t="s">
        <v>82</v>
      </c>
      <c r="Q82" s="2" t="s">
        <v>83</v>
      </c>
      <c r="R82" s="2" t="s">
        <v>84</v>
      </c>
      <c r="S82" s="2" t="s">
        <v>85</v>
      </c>
      <c r="T82" s="2" t="s">
        <v>86</v>
      </c>
      <c r="U82" s="2" t="s">
        <v>87</v>
      </c>
      <c r="V82" s="2" t="s">
        <v>88</v>
      </c>
      <c r="W82" s="2" t="s">
        <v>89</v>
      </c>
    </row>
    <row r="83" spans="1:25" x14ac:dyDescent="0.25">
      <c r="A83" t="s">
        <v>214</v>
      </c>
      <c r="B83" s="3">
        <v>1745</v>
      </c>
      <c r="C83" s="3">
        <v>1</v>
      </c>
      <c r="D83" t="s">
        <v>91</v>
      </c>
      <c r="E83" t="s">
        <v>122</v>
      </c>
      <c r="F83" t="s">
        <v>130</v>
      </c>
      <c r="G83" s="3">
        <v>1</v>
      </c>
      <c r="H83" s="14">
        <v>20.72698757643526</v>
      </c>
      <c r="I83" s="4">
        <v>21</v>
      </c>
      <c r="J83" s="3">
        <v>0</v>
      </c>
      <c r="K83" t="s">
        <v>68</v>
      </c>
      <c r="M83" t="s">
        <v>214</v>
      </c>
      <c r="N83">
        <v>1745</v>
      </c>
      <c r="O83">
        <v>1</v>
      </c>
      <c r="P83" t="s">
        <v>91</v>
      </c>
      <c r="Q83" t="s">
        <v>122</v>
      </c>
      <c r="R83" t="s">
        <v>130</v>
      </c>
      <c r="S83">
        <v>1</v>
      </c>
      <c r="T83">
        <v>20.70006148682366</v>
      </c>
      <c r="U83">
        <v>21</v>
      </c>
      <c r="V83">
        <v>0</v>
      </c>
      <c r="W83" t="s">
        <v>68</v>
      </c>
      <c r="Y83" t="b">
        <f t="shared" si="1"/>
        <v>1</v>
      </c>
    </row>
    <row r="84" spans="1:25" x14ac:dyDescent="0.25">
      <c r="A84" t="s">
        <v>214</v>
      </c>
      <c r="B84" s="3">
        <v>1745</v>
      </c>
      <c r="C84" s="3">
        <v>2</v>
      </c>
      <c r="D84" t="s">
        <v>91</v>
      </c>
      <c r="E84" t="s">
        <v>92</v>
      </c>
      <c r="F84" t="s">
        <v>93</v>
      </c>
      <c r="G84" s="3">
        <v>2</v>
      </c>
      <c r="H84" s="14">
        <v>8.2856824302740222</v>
      </c>
      <c r="I84" s="4">
        <v>6</v>
      </c>
      <c r="J84" s="3">
        <v>0</v>
      </c>
      <c r="K84" t="s">
        <v>68</v>
      </c>
      <c r="M84" t="s">
        <v>214</v>
      </c>
      <c r="N84">
        <v>1745</v>
      </c>
      <c r="O84">
        <v>2</v>
      </c>
      <c r="P84" t="s">
        <v>91</v>
      </c>
      <c r="Q84" t="s">
        <v>92</v>
      </c>
      <c r="R84" t="s">
        <v>93</v>
      </c>
      <c r="S84">
        <v>2</v>
      </c>
      <c r="T84">
        <v>8.2745166898880314</v>
      </c>
      <c r="U84">
        <v>6</v>
      </c>
      <c r="V84">
        <v>0</v>
      </c>
      <c r="W84" t="s">
        <v>68</v>
      </c>
      <c r="Y84" t="b">
        <f t="shared" si="1"/>
        <v>1</v>
      </c>
    </row>
    <row r="85" spans="1:25" x14ac:dyDescent="0.25">
      <c r="A85" t="s">
        <v>214</v>
      </c>
      <c r="B85" s="3">
        <v>1745</v>
      </c>
      <c r="C85" s="3">
        <v>3</v>
      </c>
      <c r="D85" t="s">
        <v>91</v>
      </c>
      <c r="E85" t="s">
        <v>175</v>
      </c>
      <c r="F85" t="s">
        <v>215</v>
      </c>
      <c r="G85" s="3">
        <v>3</v>
      </c>
      <c r="H85" s="14">
        <v>4.852712844049389</v>
      </c>
      <c r="I85" s="4">
        <v>4</v>
      </c>
      <c r="J85" s="3">
        <v>0</v>
      </c>
      <c r="K85" t="s">
        <v>68</v>
      </c>
      <c r="M85" t="s">
        <v>214</v>
      </c>
      <c r="N85">
        <v>1745</v>
      </c>
      <c r="O85">
        <v>3</v>
      </c>
      <c r="P85" t="s">
        <v>91</v>
      </c>
      <c r="Q85" t="s">
        <v>175</v>
      </c>
      <c r="R85" t="s">
        <v>215</v>
      </c>
      <c r="S85">
        <v>3</v>
      </c>
      <c r="T85">
        <v>4.8461550465263992</v>
      </c>
      <c r="U85">
        <v>4</v>
      </c>
      <c r="V85">
        <v>0</v>
      </c>
      <c r="W85" t="s">
        <v>68</v>
      </c>
      <c r="Y85" t="b">
        <f t="shared" si="1"/>
        <v>1</v>
      </c>
    </row>
    <row r="86" spans="1:25" x14ac:dyDescent="0.25">
      <c r="A86" t="s">
        <v>214</v>
      </c>
      <c r="B86" s="3">
        <v>1745</v>
      </c>
      <c r="C86" s="3">
        <v>4</v>
      </c>
      <c r="D86" t="s">
        <v>91</v>
      </c>
      <c r="E86" t="s">
        <v>106</v>
      </c>
      <c r="F86" t="s">
        <v>216</v>
      </c>
      <c r="G86" s="3">
        <v>4</v>
      </c>
      <c r="H86" s="14">
        <v>4.8350910897135249</v>
      </c>
      <c r="I86" s="4">
        <v>4</v>
      </c>
      <c r="J86" s="3">
        <v>0</v>
      </c>
      <c r="K86" t="s">
        <v>68</v>
      </c>
      <c r="M86" t="s">
        <v>214</v>
      </c>
      <c r="N86">
        <v>1745</v>
      </c>
      <c r="O86">
        <v>4</v>
      </c>
      <c r="P86" t="s">
        <v>91</v>
      </c>
      <c r="Q86" t="s">
        <v>106</v>
      </c>
      <c r="R86" t="s">
        <v>217</v>
      </c>
      <c r="S86">
        <v>4</v>
      </c>
      <c r="T86">
        <v>4.8288736350749968</v>
      </c>
      <c r="U86">
        <v>4</v>
      </c>
      <c r="V86">
        <v>0</v>
      </c>
      <c r="W86" t="s">
        <v>68</v>
      </c>
      <c r="Y86" t="b">
        <f t="shared" si="1"/>
        <v>1</v>
      </c>
    </row>
    <row r="87" spans="1:25" x14ac:dyDescent="0.25">
      <c r="A87" t="s">
        <v>214</v>
      </c>
      <c r="B87" s="3">
        <v>1745</v>
      </c>
      <c r="C87" s="3">
        <v>5</v>
      </c>
      <c r="D87" t="s">
        <v>91</v>
      </c>
      <c r="E87" t="s">
        <v>163</v>
      </c>
      <c r="F87" t="s">
        <v>218</v>
      </c>
      <c r="G87" s="3">
        <v>5</v>
      </c>
      <c r="H87" s="14">
        <v>3.221105327093746</v>
      </c>
      <c r="I87" s="4">
        <v>4</v>
      </c>
      <c r="J87" s="3">
        <v>0</v>
      </c>
      <c r="K87" t="s">
        <v>68</v>
      </c>
      <c r="M87" t="s">
        <v>214</v>
      </c>
      <c r="N87">
        <v>1745</v>
      </c>
      <c r="O87">
        <v>5</v>
      </c>
      <c r="P87" t="s">
        <v>91</v>
      </c>
      <c r="Q87" t="s">
        <v>163</v>
      </c>
      <c r="R87" t="s">
        <v>219</v>
      </c>
      <c r="S87">
        <v>5</v>
      </c>
      <c r="T87">
        <v>3.2169285509441332</v>
      </c>
      <c r="U87">
        <v>4</v>
      </c>
      <c r="V87">
        <v>0</v>
      </c>
      <c r="W87" t="s">
        <v>68</v>
      </c>
      <c r="Y87" t="b">
        <f t="shared" si="1"/>
        <v>1</v>
      </c>
    </row>
    <row r="88" spans="1:25" x14ac:dyDescent="0.25">
      <c r="A88" t="s">
        <v>214</v>
      </c>
      <c r="B88" s="3">
        <v>1745</v>
      </c>
      <c r="C88" s="3">
        <v>6</v>
      </c>
      <c r="D88" t="s">
        <v>91</v>
      </c>
      <c r="E88" t="s">
        <v>220</v>
      </c>
      <c r="F88" t="s">
        <v>221</v>
      </c>
      <c r="G88" s="3">
        <v>6</v>
      </c>
      <c r="H88" s="14">
        <v>3.000793735693601</v>
      </c>
      <c r="I88" s="4">
        <v>3</v>
      </c>
      <c r="J88" s="3">
        <v>0</v>
      </c>
      <c r="K88" t="s">
        <v>68</v>
      </c>
      <c r="M88" t="s">
        <v>214</v>
      </c>
      <c r="N88">
        <v>1745</v>
      </c>
      <c r="O88">
        <v>6</v>
      </c>
      <c r="P88" t="s">
        <v>91</v>
      </c>
      <c r="Q88" t="s">
        <v>220</v>
      </c>
      <c r="R88" t="s">
        <v>222</v>
      </c>
      <c r="S88">
        <v>6</v>
      </c>
      <c r="T88">
        <v>2.996853662544527</v>
      </c>
      <c r="U88">
        <v>3</v>
      </c>
      <c r="V88">
        <v>0</v>
      </c>
      <c r="W88" t="s">
        <v>68</v>
      </c>
      <c r="Y88" t="b">
        <f t="shared" si="1"/>
        <v>1</v>
      </c>
    </row>
    <row r="89" spans="1:25" x14ac:dyDescent="0.25">
      <c r="A89" t="s">
        <v>214</v>
      </c>
      <c r="B89" s="3">
        <v>1745</v>
      </c>
      <c r="C89" s="3">
        <v>7</v>
      </c>
      <c r="D89" t="s">
        <v>91</v>
      </c>
      <c r="E89" t="s">
        <v>223</v>
      </c>
      <c r="F89" t="s">
        <v>224</v>
      </c>
      <c r="G89" s="3">
        <v>7</v>
      </c>
      <c r="H89" s="14">
        <v>2.1880148425009538</v>
      </c>
      <c r="I89" s="4">
        <v>4</v>
      </c>
      <c r="J89" s="3">
        <v>0</v>
      </c>
      <c r="K89" t="s">
        <v>68</v>
      </c>
      <c r="M89" t="s">
        <v>214</v>
      </c>
      <c r="N89">
        <v>1745</v>
      </c>
      <c r="O89">
        <v>7</v>
      </c>
      <c r="P89" t="s">
        <v>91</v>
      </c>
      <c r="Q89" t="s">
        <v>223</v>
      </c>
      <c r="R89" t="s">
        <v>225</v>
      </c>
      <c r="S89">
        <v>7</v>
      </c>
      <c r="T89">
        <v>2.1852128167330829</v>
      </c>
      <c r="U89">
        <v>4</v>
      </c>
      <c r="V89">
        <v>0</v>
      </c>
      <c r="W89" t="s">
        <v>68</v>
      </c>
      <c r="Y89" t="b">
        <f t="shared" si="1"/>
        <v>1</v>
      </c>
    </row>
    <row r="90" spans="1:25" x14ac:dyDescent="0.25">
      <c r="A90" t="s">
        <v>214</v>
      </c>
      <c r="B90" s="3">
        <v>1745</v>
      </c>
      <c r="C90" s="3">
        <v>8</v>
      </c>
      <c r="D90" t="s">
        <v>91</v>
      </c>
      <c r="E90" t="s">
        <v>96</v>
      </c>
      <c r="F90" t="s">
        <v>97</v>
      </c>
      <c r="G90" s="3">
        <v>8</v>
      </c>
      <c r="H90" s="14">
        <v>1.8185514313251241</v>
      </c>
      <c r="I90" s="4">
        <v>2</v>
      </c>
      <c r="J90" s="3">
        <v>0</v>
      </c>
      <c r="K90" t="s">
        <v>68</v>
      </c>
      <c r="M90" t="s">
        <v>214</v>
      </c>
      <c r="N90">
        <v>1745</v>
      </c>
      <c r="O90">
        <v>8</v>
      </c>
      <c r="P90" t="s">
        <v>91</v>
      </c>
      <c r="Q90" t="s">
        <v>96</v>
      </c>
      <c r="R90" t="s">
        <v>226</v>
      </c>
      <c r="S90">
        <v>8</v>
      </c>
      <c r="T90">
        <v>1.8161869277938201</v>
      </c>
      <c r="U90">
        <v>2</v>
      </c>
      <c r="V90">
        <v>0</v>
      </c>
      <c r="W90" t="s">
        <v>68</v>
      </c>
      <c r="Y90" t="b">
        <f t="shared" si="1"/>
        <v>1</v>
      </c>
    </row>
    <row r="91" spans="1:25" x14ac:dyDescent="0.25">
      <c r="A91" t="s">
        <v>214</v>
      </c>
      <c r="B91" s="3">
        <v>1745</v>
      </c>
      <c r="C91" s="3">
        <v>9</v>
      </c>
      <c r="D91" t="s">
        <v>91</v>
      </c>
      <c r="E91" t="s">
        <v>99</v>
      </c>
      <c r="F91" t="s">
        <v>227</v>
      </c>
      <c r="G91" s="3">
        <v>9</v>
      </c>
      <c r="H91" s="14">
        <v>1.6436624800072821</v>
      </c>
      <c r="I91" s="4">
        <v>5</v>
      </c>
      <c r="J91" s="3">
        <v>0</v>
      </c>
      <c r="K91" t="s">
        <v>68</v>
      </c>
      <c r="M91" t="s">
        <v>214</v>
      </c>
      <c r="N91">
        <v>1745</v>
      </c>
      <c r="O91">
        <v>9</v>
      </c>
      <c r="P91" t="s">
        <v>91</v>
      </c>
      <c r="Q91" t="s">
        <v>99</v>
      </c>
      <c r="R91" t="s">
        <v>227</v>
      </c>
      <c r="S91">
        <v>9</v>
      </c>
      <c r="T91">
        <v>1.6414997057114959</v>
      </c>
      <c r="U91">
        <v>5</v>
      </c>
      <c r="V91">
        <v>0</v>
      </c>
      <c r="W91" t="s">
        <v>68</v>
      </c>
      <c r="Y91" t="b">
        <f t="shared" si="1"/>
        <v>1</v>
      </c>
    </row>
    <row r="92" spans="1:25" x14ac:dyDescent="0.25">
      <c r="A92" t="s">
        <v>214</v>
      </c>
      <c r="B92" s="3">
        <v>1745</v>
      </c>
      <c r="C92" s="3">
        <v>10</v>
      </c>
      <c r="D92" t="s">
        <v>91</v>
      </c>
      <c r="E92" t="s">
        <v>228</v>
      </c>
      <c r="F92" t="s">
        <v>229</v>
      </c>
      <c r="G92" s="3">
        <v>10</v>
      </c>
      <c r="H92" s="14">
        <v>1.3724918591470849</v>
      </c>
      <c r="I92" s="4">
        <v>1</v>
      </c>
      <c r="J92" s="3">
        <v>0</v>
      </c>
      <c r="K92" t="s">
        <v>68</v>
      </c>
      <c r="M92" t="s">
        <v>214</v>
      </c>
      <c r="N92">
        <v>1745</v>
      </c>
      <c r="O92">
        <v>10</v>
      </c>
      <c r="P92" t="s">
        <v>91</v>
      </c>
      <c r="Q92" t="s">
        <v>228</v>
      </c>
      <c r="R92" t="s">
        <v>229</v>
      </c>
      <c r="S92">
        <v>10</v>
      </c>
      <c r="T92">
        <v>1.370706057950078</v>
      </c>
      <c r="U92">
        <v>1</v>
      </c>
      <c r="V92">
        <v>0</v>
      </c>
      <c r="W92" t="s">
        <v>68</v>
      </c>
      <c r="Y92" t="b">
        <f t="shared" si="1"/>
        <v>1</v>
      </c>
    </row>
    <row r="93" spans="1:25" x14ac:dyDescent="0.25">
      <c r="A93" t="s">
        <v>214</v>
      </c>
      <c r="B93" s="3">
        <v>1745</v>
      </c>
      <c r="C93" s="3">
        <v>11</v>
      </c>
      <c r="D93" t="s">
        <v>91</v>
      </c>
      <c r="E93" t="s">
        <v>230</v>
      </c>
      <c r="F93" t="s">
        <v>231</v>
      </c>
      <c r="G93" s="3">
        <v>11</v>
      </c>
      <c r="H93" s="14">
        <v>1.371157319162895</v>
      </c>
      <c r="I93" s="4">
        <v>1</v>
      </c>
      <c r="J93" s="3">
        <v>0</v>
      </c>
      <c r="K93" t="s">
        <v>68</v>
      </c>
      <c r="M93" t="s">
        <v>214</v>
      </c>
      <c r="N93">
        <v>1745</v>
      </c>
      <c r="O93">
        <v>11</v>
      </c>
      <c r="P93" t="s">
        <v>91</v>
      </c>
      <c r="Q93" t="s">
        <v>230</v>
      </c>
      <c r="R93" t="s">
        <v>231</v>
      </c>
      <c r="S93">
        <v>11</v>
      </c>
      <c r="T93">
        <v>1.3693545998736141</v>
      </c>
      <c r="U93">
        <v>1</v>
      </c>
      <c r="V93">
        <v>0</v>
      </c>
      <c r="W93" t="s">
        <v>68</v>
      </c>
      <c r="Y93" t="b">
        <f t="shared" si="1"/>
        <v>1</v>
      </c>
    </row>
    <row r="94" spans="1:25" x14ac:dyDescent="0.25">
      <c r="A94" t="s">
        <v>214</v>
      </c>
      <c r="B94" s="3">
        <v>1745</v>
      </c>
      <c r="C94" s="3">
        <v>12</v>
      </c>
      <c r="D94" t="s">
        <v>91</v>
      </c>
      <c r="E94" t="s">
        <v>153</v>
      </c>
      <c r="F94" t="s">
        <v>232</v>
      </c>
      <c r="G94" s="3">
        <v>12</v>
      </c>
      <c r="H94" s="14">
        <v>1.35197727499729</v>
      </c>
      <c r="I94" s="4">
        <v>1</v>
      </c>
      <c r="J94" s="3">
        <v>0</v>
      </c>
      <c r="K94" t="s">
        <v>68</v>
      </c>
      <c r="M94" t="s">
        <v>214</v>
      </c>
      <c r="N94">
        <v>1745</v>
      </c>
      <c r="O94">
        <v>12</v>
      </c>
      <c r="P94" t="s">
        <v>91</v>
      </c>
      <c r="Q94" t="s">
        <v>153</v>
      </c>
      <c r="R94" t="s">
        <v>232</v>
      </c>
      <c r="S94">
        <v>12</v>
      </c>
      <c r="T94">
        <v>1.3501968135277449</v>
      </c>
      <c r="U94">
        <v>1</v>
      </c>
      <c r="V94">
        <v>0</v>
      </c>
      <c r="W94" t="s">
        <v>68</v>
      </c>
      <c r="Y94" t="b">
        <f t="shared" si="1"/>
        <v>1</v>
      </c>
    </row>
    <row r="97" spans="1:25" ht="15.75" x14ac:dyDescent="0.3">
      <c r="A97" s="12" t="s">
        <v>233</v>
      </c>
      <c r="M97" s="12" t="s">
        <v>233</v>
      </c>
    </row>
    <row r="98" spans="1:25" ht="30.75" thickBot="1" x14ac:dyDescent="0.3">
      <c r="A98" s="2" t="s">
        <v>80</v>
      </c>
      <c r="B98" s="2" t="s">
        <v>13</v>
      </c>
      <c r="C98" s="2" t="s">
        <v>81</v>
      </c>
      <c r="D98" s="2" t="s">
        <v>82</v>
      </c>
      <c r="E98" s="2" t="s">
        <v>83</v>
      </c>
      <c r="F98" s="2" t="s">
        <v>84</v>
      </c>
      <c r="G98" s="2" t="s">
        <v>85</v>
      </c>
      <c r="H98" s="2" t="s">
        <v>86</v>
      </c>
      <c r="I98" s="2" t="s">
        <v>87</v>
      </c>
      <c r="J98" s="2" t="s">
        <v>88</v>
      </c>
      <c r="K98" s="2" t="s">
        <v>89</v>
      </c>
      <c r="M98" s="2" t="s">
        <v>80</v>
      </c>
      <c r="N98" s="2" t="s">
        <v>13</v>
      </c>
      <c r="O98" s="2" t="s">
        <v>81</v>
      </c>
      <c r="P98" s="2" t="s">
        <v>82</v>
      </c>
      <c r="Q98" s="2" t="s">
        <v>83</v>
      </c>
      <c r="R98" s="2" t="s">
        <v>84</v>
      </c>
      <c r="S98" s="2" t="s">
        <v>85</v>
      </c>
      <c r="T98" s="2" t="s">
        <v>86</v>
      </c>
      <c r="U98" s="2" t="s">
        <v>87</v>
      </c>
      <c r="V98" s="2" t="s">
        <v>88</v>
      </c>
      <c r="W98" s="2" t="s">
        <v>89</v>
      </c>
    </row>
    <row r="99" spans="1:25" x14ac:dyDescent="0.25">
      <c r="A99" t="s">
        <v>234</v>
      </c>
      <c r="B99" s="3">
        <v>1745</v>
      </c>
      <c r="C99" s="3">
        <v>1</v>
      </c>
      <c r="D99" t="s">
        <v>91</v>
      </c>
      <c r="E99" t="s">
        <v>131</v>
      </c>
      <c r="F99" t="s">
        <v>133</v>
      </c>
      <c r="G99" s="3">
        <v>1</v>
      </c>
      <c r="H99" s="14">
        <v>2.5293448183591418</v>
      </c>
      <c r="I99" s="4">
        <v>3</v>
      </c>
      <c r="J99" s="3">
        <v>0</v>
      </c>
      <c r="K99" t="s">
        <v>68</v>
      </c>
      <c r="M99" t="s">
        <v>234</v>
      </c>
      <c r="N99">
        <v>1745</v>
      </c>
      <c r="O99">
        <v>1</v>
      </c>
      <c r="P99" t="s">
        <v>91</v>
      </c>
      <c r="Q99" t="s">
        <v>131</v>
      </c>
      <c r="R99" t="s">
        <v>235</v>
      </c>
      <c r="S99">
        <v>1</v>
      </c>
      <c r="T99">
        <v>2.526060075908795</v>
      </c>
      <c r="U99">
        <v>3</v>
      </c>
      <c r="V99">
        <v>0</v>
      </c>
      <c r="W99" t="s">
        <v>68</v>
      </c>
      <c r="Y99" t="b">
        <f t="shared" si="1"/>
        <v>1</v>
      </c>
    </row>
    <row r="100" spans="1:25" x14ac:dyDescent="0.25">
      <c r="A100" t="s">
        <v>234</v>
      </c>
      <c r="B100" s="3">
        <v>1745</v>
      </c>
      <c r="C100" s="3">
        <v>2</v>
      </c>
      <c r="D100" t="s">
        <v>91</v>
      </c>
      <c r="E100" t="s">
        <v>155</v>
      </c>
      <c r="F100" t="s">
        <v>156</v>
      </c>
      <c r="G100" s="3">
        <v>2</v>
      </c>
      <c r="H100" s="14">
        <v>2.117670880655691</v>
      </c>
      <c r="I100" s="4">
        <v>2</v>
      </c>
      <c r="J100" s="3">
        <v>0</v>
      </c>
      <c r="K100" t="s">
        <v>68</v>
      </c>
      <c r="M100" t="s">
        <v>234</v>
      </c>
      <c r="N100">
        <v>1745</v>
      </c>
      <c r="O100">
        <v>2</v>
      </c>
      <c r="P100" t="s">
        <v>91</v>
      </c>
      <c r="Q100" t="s">
        <v>155</v>
      </c>
      <c r="R100" t="s">
        <v>156</v>
      </c>
      <c r="S100">
        <v>2</v>
      </c>
      <c r="T100">
        <v>2.1158478700309682</v>
      </c>
      <c r="U100">
        <v>2</v>
      </c>
      <c r="V100">
        <v>0</v>
      </c>
      <c r="W100" t="s">
        <v>68</v>
      </c>
      <c r="Y100" t="b">
        <f t="shared" si="1"/>
        <v>1</v>
      </c>
    </row>
    <row r="101" spans="1:25" x14ac:dyDescent="0.25">
      <c r="A101" t="s">
        <v>234</v>
      </c>
      <c r="B101" s="3">
        <v>1745</v>
      </c>
      <c r="C101" s="3">
        <v>3</v>
      </c>
      <c r="D101" t="s">
        <v>91</v>
      </c>
      <c r="E101" t="s">
        <v>236</v>
      </c>
      <c r="F101" t="s">
        <v>237</v>
      </c>
      <c r="G101" s="3">
        <v>3</v>
      </c>
      <c r="H101" s="14">
        <v>2.0382596578162202</v>
      </c>
      <c r="I101" s="4">
        <v>2</v>
      </c>
      <c r="J101" s="3">
        <v>0</v>
      </c>
      <c r="K101" t="s">
        <v>68</v>
      </c>
      <c r="M101" t="s">
        <v>234</v>
      </c>
      <c r="N101">
        <v>1745</v>
      </c>
      <c r="O101">
        <v>3</v>
      </c>
      <c r="P101" t="s">
        <v>91</v>
      </c>
      <c r="Q101" t="s">
        <v>236</v>
      </c>
      <c r="R101" t="s">
        <v>237</v>
      </c>
      <c r="S101">
        <v>3</v>
      </c>
      <c r="T101">
        <v>2.0354529471805929</v>
      </c>
      <c r="U101">
        <v>2</v>
      </c>
      <c r="V101">
        <v>0</v>
      </c>
      <c r="W101" t="s">
        <v>68</v>
      </c>
      <c r="Y101" t="b">
        <f t="shared" si="1"/>
        <v>1</v>
      </c>
    </row>
    <row r="102" spans="1:25" x14ac:dyDescent="0.25">
      <c r="A102" t="s">
        <v>234</v>
      </c>
      <c r="B102" s="3">
        <v>1745</v>
      </c>
      <c r="C102" s="3">
        <v>4</v>
      </c>
      <c r="D102" t="s">
        <v>91</v>
      </c>
      <c r="E102" t="s">
        <v>238</v>
      </c>
      <c r="F102" t="s">
        <v>239</v>
      </c>
      <c r="G102" s="3">
        <v>4</v>
      </c>
      <c r="H102" s="14">
        <v>1.3724292944511589</v>
      </c>
      <c r="I102" s="4">
        <v>1</v>
      </c>
      <c r="J102" s="3">
        <v>0</v>
      </c>
      <c r="K102" t="s">
        <v>68</v>
      </c>
      <c r="M102" t="s">
        <v>234</v>
      </c>
      <c r="N102">
        <v>1745</v>
      </c>
      <c r="O102">
        <v>4</v>
      </c>
      <c r="P102" t="s">
        <v>91</v>
      </c>
      <c r="Q102" t="s">
        <v>238</v>
      </c>
      <c r="R102" t="s">
        <v>240</v>
      </c>
      <c r="S102">
        <v>4</v>
      </c>
      <c r="T102">
        <v>1.3706094041586649</v>
      </c>
      <c r="U102">
        <v>1</v>
      </c>
      <c r="V102">
        <v>0</v>
      </c>
      <c r="W102" t="s">
        <v>68</v>
      </c>
      <c r="Y102" t="b">
        <f t="shared" si="1"/>
        <v>1</v>
      </c>
    </row>
    <row r="103" spans="1:25" x14ac:dyDescent="0.25">
      <c r="A103" t="s">
        <v>234</v>
      </c>
      <c r="B103" s="3">
        <v>1745</v>
      </c>
      <c r="C103" s="3">
        <v>5</v>
      </c>
      <c r="D103" t="s">
        <v>91</v>
      </c>
      <c r="E103" t="s">
        <v>241</v>
      </c>
      <c r="F103" t="s">
        <v>242</v>
      </c>
      <c r="G103" s="3">
        <v>5</v>
      </c>
      <c r="H103" s="14">
        <v>1.317561417870547</v>
      </c>
      <c r="I103" s="4">
        <v>1</v>
      </c>
      <c r="J103" s="3">
        <v>0</v>
      </c>
      <c r="K103" t="s">
        <v>68</v>
      </c>
      <c r="M103" t="s">
        <v>234</v>
      </c>
      <c r="N103">
        <v>1745</v>
      </c>
      <c r="O103">
        <v>5</v>
      </c>
      <c r="P103" t="s">
        <v>91</v>
      </c>
      <c r="Q103" t="s">
        <v>241</v>
      </c>
      <c r="R103" t="s">
        <v>242</v>
      </c>
      <c r="S103">
        <v>5</v>
      </c>
      <c r="T103">
        <v>1.3158774218355991</v>
      </c>
      <c r="U103">
        <v>1</v>
      </c>
      <c r="V103">
        <v>0</v>
      </c>
      <c r="W103" t="s">
        <v>68</v>
      </c>
      <c r="Y103" t="b">
        <f t="shared" si="1"/>
        <v>1</v>
      </c>
    </row>
    <row r="104" spans="1:25" x14ac:dyDescent="0.25">
      <c r="A104" t="s">
        <v>234</v>
      </c>
      <c r="B104" s="3">
        <v>1745</v>
      </c>
      <c r="C104" s="3">
        <v>6</v>
      </c>
      <c r="D104" t="s">
        <v>91</v>
      </c>
      <c r="E104" t="s">
        <v>243</v>
      </c>
      <c r="F104" t="s">
        <v>244</v>
      </c>
      <c r="G104" s="3">
        <v>6</v>
      </c>
      <c r="H104" s="14">
        <v>1.2924842513141901</v>
      </c>
      <c r="I104" s="4">
        <v>1</v>
      </c>
      <c r="J104" s="3">
        <v>0</v>
      </c>
      <c r="K104" t="s">
        <v>68</v>
      </c>
      <c r="M104" t="s">
        <v>234</v>
      </c>
      <c r="N104">
        <v>1745</v>
      </c>
      <c r="O104">
        <v>6</v>
      </c>
      <c r="P104" t="s">
        <v>91</v>
      </c>
      <c r="Q104" t="s">
        <v>243</v>
      </c>
      <c r="R104" t="s">
        <v>244</v>
      </c>
      <c r="S104">
        <v>6</v>
      </c>
      <c r="T104">
        <v>1.2906213907807911</v>
      </c>
      <c r="U104">
        <v>1</v>
      </c>
      <c r="V104">
        <v>0</v>
      </c>
      <c r="W104" t="s">
        <v>68</v>
      </c>
      <c r="Y104" t="b">
        <f t="shared" si="1"/>
        <v>1</v>
      </c>
    </row>
    <row r="105" spans="1:25" x14ac:dyDescent="0.25">
      <c r="A105" t="s">
        <v>234</v>
      </c>
      <c r="B105" s="3">
        <v>1745</v>
      </c>
      <c r="C105" s="3">
        <v>7</v>
      </c>
      <c r="D105" t="s">
        <v>91</v>
      </c>
      <c r="E105" t="s">
        <v>245</v>
      </c>
      <c r="F105" t="s">
        <v>246</v>
      </c>
      <c r="G105" s="3">
        <v>7</v>
      </c>
      <c r="H105" s="14">
        <v>0.91272458089703734</v>
      </c>
      <c r="I105" s="4">
        <v>1</v>
      </c>
      <c r="J105" s="3">
        <v>0</v>
      </c>
      <c r="K105" t="s">
        <v>68</v>
      </c>
      <c r="M105" t="s">
        <v>234</v>
      </c>
      <c r="N105">
        <v>1745</v>
      </c>
      <c r="O105">
        <v>7</v>
      </c>
      <c r="P105" t="s">
        <v>91</v>
      </c>
      <c r="Q105" t="s">
        <v>245</v>
      </c>
      <c r="R105" t="s">
        <v>247</v>
      </c>
      <c r="S105">
        <v>7</v>
      </c>
      <c r="T105">
        <v>0.91091004972257283</v>
      </c>
      <c r="U105">
        <v>1</v>
      </c>
      <c r="V105">
        <v>0</v>
      </c>
      <c r="W105" t="s">
        <v>68</v>
      </c>
      <c r="Y105" t="b">
        <f t="shared" si="1"/>
        <v>1</v>
      </c>
    </row>
    <row r="106" spans="1:25" x14ac:dyDescent="0.25">
      <c r="A106" t="s">
        <v>234</v>
      </c>
      <c r="B106" s="3">
        <v>1745</v>
      </c>
      <c r="C106" s="3">
        <v>8</v>
      </c>
      <c r="D106" t="s">
        <v>91</v>
      </c>
      <c r="E106" t="s">
        <v>106</v>
      </c>
      <c r="F106" t="s">
        <v>248</v>
      </c>
      <c r="G106" s="3">
        <v>8</v>
      </c>
      <c r="H106" s="14">
        <v>0.85052279201125447</v>
      </c>
      <c r="I106" s="4">
        <v>1</v>
      </c>
      <c r="J106" s="3">
        <v>0</v>
      </c>
      <c r="K106" t="s">
        <v>68</v>
      </c>
      <c r="M106" t="s">
        <v>234</v>
      </c>
      <c r="N106">
        <v>1745</v>
      </c>
      <c r="O106">
        <v>8</v>
      </c>
      <c r="P106" t="s">
        <v>91</v>
      </c>
      <c r="Q106" t="s">
        <v>106</v>
      </c>
      <c r="R106" t="s">
        <v>249</v>
      </c>
      <c r="S106">
        <v>8</v>
      </c>
      <c r="T106">
        <v>0.84913341624063354</v>
      </c>
      <c r="U106">
        <v>1</v>
      </c>
      <c r="V106">
        <v>0</v>
      </c>
      <c r="W106" t="s">
        <v>68</v>
      </c>
      <c r="Y106" t="b">
        <f t="shared" si="1"/>
        <v>1</v>
      </c>
    </row>
    <row r="107" spans="1:25" x14ac:dyDescent="0.25">
      <c r="A107" t="s">
        <v>234</v>
      </c>
      <c r="B107" s="3">
        <v>1745</v>
      </c>
      <c r="C107" s="3">
        <v>9</v>
      </c>
      <c r="D107" t="s">
        <v>91</v>
      </c>
      <c r="E107" t="s">
        <v>250</v>
      </c>
      <c r="F107" t="s">
        <v>251</v>
      </c>
      <c r="G107" s="3">
        <v>9</v>
      </c>
      <c r="H107" s="14">
        <v>0.73069253656330957</v>
      </c>
      <c r="I107" s="4">
        <v>1</v>
      </c>
      <c r="J107" s="3">
        <v>0</v>
      </c>
      <c r="K107" t="s">
        <v>68</v>
      </c>
      <c r="M107" t="s">
        <v>234</v>
      </c>
      <c r="N107">
        <v>1745</v>
      </c>
      <c r="O107">
        <v>9</v>
      </c>
      <c r="P107" t="s">
        <v>91</v>
      </c>
      <c r="Q107" t="s">
        <v>250</v>
      </c>
      <c r="R107" t="s">
        <v>251</v>
      </c>
      <c r="S107">
        <v>9</v>
      </c>
      <c r="T107">
        <v>0.72993175906021712</v>
      </c>
      <c r="U107">
        <v>1</v>
      </c>
      <c r="V107">
        <v>0</v>
      </c>
      <c r="W107" t="s">
        <v>68</v>
      </c>
      <c r="Y107" t="b">
        <f t="shared" si="1"/>
        <v>1</v>
      </c>
    </row>
    <row r="108" spans="1:25" x14ac:dyDescent="0.25">
      <c r="A108" t="s">
        <v>234</v>
      </c>
      <c r="B108" s="3">
        <v>1745</v>
      </c>
      <c r="C108" s="3">
        <v>10</v>
      </c>
      <c r="D108" t="s">
        <v>91</v>
      </c>
      <c r="E108" t="s">
        <v>122</v>
      </c>
      <c r="F108" t="s">
        <v>252</v>
      </c>
      <c r="J108" s="3">
        <v>1</v>
      </c>
      <c r="K108" t="s">
        <v>68</v>
      </c>
      <c r="M108" t="s">
        <v>234</v>
      </c>
      <c r="N108">
        <v>1745</v>
      </c>
      <c r="O108">
        <v>10</v>
      </c>
      <c r="P108" t="s">
        <v>91</v>
      </c>
      <c r="Q108" t="s">
        <v>253</v>
      </c>
      <c r="R108" t="s">
        <v>254</v>
      </c>
      <c r="V108">
        <v>1</v>
      </c>
      <c r="W108" t="s">
        <v>68</v>
      </c>
      <c r="Y108" t="b">
        <f t="shared" si="1"/>
        <v>0</v>
      </c>
    </row>
    <row r="109" spans="1:25" x14ac:dyDescent="0.25">
      <c r="A109" t="s">
        <v>234</v>
      </c>
      <c r="B109" s="3">
        <v>1745</v>
      </c>
      <c r="C109" s="3">
        <v>11</v>
      </c>
      <c r="D109" t="s">
        <v>91</v>
      </c>
      <c r="E109" t="s">
        <v>143</v>
      </c>
      <c r="F109" t="s">
        <v>144</v>
      </c>
      <c r="J109" s="3">
        <v>1</v>
      </c>
      <c r="K109" t="s">
        <v>68</v>
      </c>
      <c r="M109" t="s">
        <v>234</v>
      </c>
      <c r="N109">
        <v>1745</v>
      </c>
      <c r="O109">
        <v>11</v>
      </c>
      <c r="P109" t="s">
        <v>91</v>
      </c>
      <c r="Q109" t="s">
        <v>122</v>
      </c>
      <c r="R109" t="s">
        <v>252</v>
      </c>
      <c r="V109">
        <v>1</v>
      </c>
      <c r="W109" t="s">
        <v>68</v>
      </c>
      <c r="Y109" t="b">
        <f t="shared" si="1"/>
        <v>0</v>
      </c>
    </row>
    <row r="110" spans="1:25" x14ac:dyDescent="0.25">
      <c r="A110" t="s">
        <v>234</v>
      </c>
      <c r="B110" s="3">
        <v>1745</v>
      </c>
      <c r="C110" s="3">
        <v>12</v>
      </c>
      <c r="D110" t="s">
        <v>91</v>
      </c>
      <c r="E110" t="s">
        <v>168</v>
      </c>
      <c r="F110" t="s">
        <v>169</v>
      </c>
      <c r="J110" s="3">
        <v>1</v>
      </c>
      <c r="K110" t="s">
        <v>68</v>
      </c>
      <c r="M110" t="s">
        <v>234</v>
      </c>
      <c r="N110">
        <v>1745</v>
      </c>
      <c r="O110">
        <v>12</v>
      </c>
      <c r="P110" t="s">
        <v>91</v>
      </c>
      <c r="Q110" t="s">
        <v>143</v>
      </c>
      <c r="R110" t="s">
        <v>144</v>
      </c>
      <c r="V110">
        <v>1</v>
      </c>
      <c r="W110" t="s">
        <v>68</v>
      </c>
      <c r="Y110" t="b">
        <f t="shared" si="1"/>
        <v>0</v>
      </c>
    </row>
    <row r="113" spans="1:25" ht="15.75" x14ac:dyDescent="0.3">
      <c r="A113" s="12" t="s">
        <v>255</v>
      </c>
      <c r="M113" s="12" t="s">
        <v>255</v>
      </c>
    </row>
    <row r="114" spans="1:25" ht="30.75" thickBot="1" x14ac:dyDescent="0.3">
      <c r="A114" s="2" t="s">
        <v>80</v>
      </c>
      <c r="B114" s="2" t="s">
        <v>13</v>
      </c>
      <c r="C114" s="2" t="s">
        <v>81</v>
      </c>
      <c r="D114" s="2" t="s">
        <v>82</v>
      </c>
      <c r="E114" s="2" t="s">
        <v>83</v>
      </c>
      <c r="F114" s="2" t="s">
        <v>84</v>
      </c>
      <c r="G114" s="2" t="s">
        <v>85</v>
      </c>
      <c r="H114" s="2" t="s">
        <v>86</v>
      </c>
      <c r="I114" s="2" t="s">
        <v>87</v>
      </c>
      <c r="J114" s="2" t="s">
        <v>88</v>
      </c>
      <c r="K114" s="2" t="s">
        <v>89</v>
      </c>
      <c r="M114" s="2" t="s">
        <v>80</v>
      </c>
      <c r="N114" s="2" t="s">
        <v>13</v>
      </c>
      <c r="O114" s="2" t="s">
        <v>81</v>
      </c>
      <c r="P114" s="2" t="s">
        <v>82</v>
      </c>
      <c r="Q114" s="2" t="s">
        <v>83</v>
      </c>
      <c r="R114" s="2" t="s">
        <v>84</v>
      </c>
      <c r="S114" s="2" t="s">
        <v>85</v>
      </c>
      <c r="T114" s="2" t="s">
        <v>86</v>
      </c>
      <c r="U114" s="2" t="s">
        <v>87</v>
      </c>
      <c r="V114" s="2" t="s">
        <v>88</v>
      </c>
      <c r="W114" s="2" t="s">
        <v>89</v>
      </c>
    </row>
    <row r="115" spans="1:25" x14ac:dyDescent="0.25">
      <c r="A115" t="s">
        <v>256</v>
      </c>
      <c r="B115" s="3">
        <v>1743</v>
      </c>
      <c r="C115" s="3">
        <v>1</v>
      </c>
      <c r="J115" s="3">
        <v>0</v>
      </c>
      <c r="K115" t="s">
        <v>68</v>
      </c>
      <c r="M115" t="s">
        <v>256</v>
      </c>
      <c r="N115">
        <v>1741</v>
      </c>
      <c r="O115">
        <v>1</v>
      </c>
      <c r="V115">
        <v>0</v>
      </c>
      <c r="W115" t="s">
        <v>68</v>
      </c>
      <c r="Y115" t="b">
        <f t="shared" si="1"/>
        <v>1</v>
      </c>
    </row>
    <row r="116" spans="1:25" x14ac:dyDescent="0.25">
      <c r="A116" t="s">
        <v>256</v>
      </c>
      <c r="B116" s="3">
        <v>1743</v>
      </c>
      <c r="C116" s="3">
        <v>2</v>
      </c>
      <c r="J116" s="3">
        <v>0</v>
      </c>
      <c r="K116" t="s">
        <v>68</v>
      </c>
      <c r="M116" t="s">
        <v>256</v>
      </c>
      <c r="N116">
        <v>1741</v>
      </c>
      <c r="O116">
        <v>2</v>
      </c>
      <c r="V116">
        <v>0</v>
      </c>
      <c r="W116" t="s">
        <v>68</v>
      </c>
      <c r="Y116" t="b">
        <f t="shared" si="1"/>
        <v>1</v>
      </c>
    </row>
    <row r="117" spans="1:25" x14ac:dyDescent="0.25">
      <c r="A117" t="s">
        <v>256</v>
      </c>
      <c r="B117" s="3">
        <v>1743</v>
      </c>
      <c r="C117" s="3">
        <v>3</v>
      </c>
      <c r="D117" t="s">
        <v>91</v>
      </c>
      <c r="E117" t="s">
        <v>257</v>
      </c>
      <c r="F117" t="s">
        <v>258</v>
      </c>
      <c r="G117" s="3">
        <v>1</v>
      </c>
      <c r="H117" s="14">
        <v>8.4345641039404473</v>
      </c>
      <c r="I117" s="4">
        <v>11</v>
      </c>
      <c r="J117" s="3">
        <v>0</v>
      </c>
      <c r="K117" t="s">
        <v>68</v>
      </c>
      <c r="M117" t="s">
        <v>256</v>
      </c>
      <c r="N117">
        <v>1741</v>
      </c>
      <c r="O117">
        <v>3</v>
      </c>
      <c r="P117" t="s">
        <v>91</v>
      </c>
      <c r="Q117" t="s">
        <v>257</v>
      </c>
      <c r="R117" t="s">
        <v>258</v>
      </c>
      <c r="S117">
        <v>1</v>
      </c>
      <c r="T117">
        <v>8.4221323762688236</v>
      </c>
      <c r="U117">
        <v>11</v>
      </c>
      <c r="V117">
        <v>0</v>
      </c>
      <c r="W117" t="s">
        <v>68</v>
      </c>
      <c r="Y117" t="b">
        <f t="shared" si="1"/>
        <v>1</v>
      </c>
    </row>
    <row r="118" spans="1:25" x14ac:dyDescent="0.25">
      <c r="A118" t="s">
        <v>256</v>
      </c>
      <c r="B118" s="3">
        <v>1743</v>
      </c>
      <c r="C118" s="3">
        <v>4</v>
      </c>
      <c r="D118" t="s">
        <v>91</v>
      </c>
      <c r="E118" t="s">
        <v>161</v>
      </c>
      <c r="F118" t="s">
        <v>162</v>
      </c>
      <c r="G118" s="3">
        <v>2</v>
      </c>
      <c r="H118" s="14">
        <v>7.2825134612491063</v>
      </c>
      <c r="I118" s="4">
        <v>6</v>
      </c>
      <c r="J118" s="3">
        <v>0</v>
      </c>
      <c r="K118" t="s">
        <v>68</v>
      </c>
      <c r="M118" t="s">
        <v>256</v>
      </c>
      <c r="N118">
        <v>1741</v>
      </c>
      <c r="O118">
        <v>4</v>
      </c>
      <c r="P118" t="s">
        <v>91</v>
      </c>
      <c r="Q118" t="s">
        <v>161</v>
      </c>
      <c r="R118" t="s">
        <v>162</v>
      </c>
      <c r="S118">
        <v>2</v>
      </c>
      <c r="T118">
        <v>7.2722646225395646</v>
      </c>
      <c r="U118">
        <v>6</v>
      </c>
      <c r="V118">
        <v>0</v>
      </c>
      <c r="W118" t="s">
        <v>68</v>
      </c>
      <c r="Y118" t="b">
        <f t="shared" si="1"/>
        <v>1</v>
      </c>
    </row>
    <row r="119" spans="1:25" x14ac:dyDescent="0.25">
      <c r="A119" t="s">
        <v>256</v>
      </c>
      <c r="B119" s="3">
        <v>1743</v>
      </c>
      <c r="C119" s="3">
        <v>5</v>
      </c>
      <c r="D119" t="s">
        <v>91</v>
      </c>
      <c r="E119" t="s">
        <v>259</v>
      </c>
      <c r="F119" t="s">
        <v>260</v>
      </c>
      <c r="G119" s="3">
        <v>3</v>
      </c>
      <c r="H119" s="14">
        <v>2.1212908831389101</v>
      </c>
      <c r="I119" s="4">
        <v>4</v>
      </c>
      <c r="J119" s="3">
        <v>0</v>
      </c>
      <c r="K119" t="s">
        <v>68</v>
      </c>
      <c r="M119" t="s">
        <v>256</v>
      </c>
      <c r="N119">
        <v>1741</v>
      </c>
      <c r="O119">
        <v>5</v>
      </c>
      <c r="P119" t="s">
        <v>91</v>
      </c>
      <c r="Q119" t="s">
        <v>259</v>
      </c>
      <c r="R119" t="s">
        <v>260</v>
      </c>
      <c r="S119">
        <v>3</v>
      </c>
      <c r="T119">
        <v>2.1185798906564099</v>
      </c>
      <c r="U119">
        <v>4</v>
      </c>
      <c r="V119">
        <v>0</v>
      </c>
      <c r="W119" t="s">
        <v>68</v>
      </c>
      <c r="Y119" t="b">
        <f t="shared" si="1"/>
        <v>1</v>
      </c>
    </row>
    <row r="120" spans="1:25" x14ac:dyDescent="0.25">
      <c r="A120" t="s">
        <v>256</v>
      </c>
      <c r="B120" s="3">
        <v>1743</v>
      </c>
      <c r="C120" s="3">
        <v>6</v>
      </c>
      <c r="D120" t="s">
        <v>91</v>
      </c>
      <c r="E120" t="s">
        <v>172</v>
      </c>
      <c r="F120" t="s">
        <v>174</v>
      </c>
      <c r="G120" s="3">
        <v>4</v>
      </c>
      <c r="H120" s="14">
        <v>1.609272907103817</v>
      </c>
      <c r="I120" s="4">
        <v>2</v>
      </c>
      <c r="J120" s="3">
        <v>0</v>
      </c>
      <c r="K120" t="s">
        <v>68</v>
      </c>
      <c r="M120" t="s">
        <v>256</v>
      </c>
      <c r="N120">
        <v>1741</v>
      </c>
      <c r="O120">
        <v>6</v>
      </c>
      <c r="P120" t="s">
        <v>91</v>
      </c>
      <c r="Q120" t="s">
        <v>172</v>
      </c>
      <c r="R120" t="s">
        <v>189</v>
      </c>
      <c r="S120">
        <v>4</v>
      </c>
      <c r="T120">
        <v>1.607150051297771</v>
      </c>
      <c r="U120">
        <v>2</v>
      </c>
      <c r="V120">
        <v>0</v>
      </c>
      <c r="W120" t="s">
        <v>68</v>
      </c>
      <c r="Y120" t="b">
        <f t="shared" si="1"/>
        <v>1</v>
      </c>
    </row>
    <row r="121" spans="1:25" x14ac:dyDescent="0.25">
      <c r="A121" t="s">
        <v>256</v>
      </c>
      <c r="B121" s="3">
        <v>1743</v>
      </c>
      <c r="C121" s="3">
        <v>7</v>
      </c>
      <c r="D121" t="s">
        <v>91</v>
      </c>
      <c r="E121" t="s">
        <v>261</v>
      </c>
      <c r="F121" t="s">
        <v>262</v>
      </c>
      <c r="G121" s="3">
        <v>5</v>
      </c>
      <c r="H121" s="14">
        <v>1.192412223498869</v>
      </c>
      <c r="I121" s="4">
        <v>2</v>
      </c>
      <c r="J121" s="3">
        <v>0</v>
      </c>
      <c r="K121" t="s">
        <v>68</v>
      </c>
      <c r="M121" t="s">
        <v>256</v>
      </c>
      <c r="N121">
        <v>1741</v>
      </c>
      <c r="O121">
        <v>7</v>
      </c>
      <c r="P121" t="s">
        <v>91</v>
      </c>
      <c r="Q121" t="s">
        <v>261</v>
      </c>
      <c r="R121" t="s">
        <v>263</v>
      </c>
      <c r="S121">
        <v>5</v>
      </c>
      <c r="T121">
        <v>1.190587181680933</v>
      </c>
      <c r="U121">
        <v>2</v>
      </c>
      <c r="V121">
        <v>0</v>
      </c>
      <c r="W121" t="s">
        <v>68</v>
      </c>
      <c r="Y121" t="b">
        <f t="shared" si="1"/>
        <v>1</v>
      </c>
    </row>
    <row r="122" spans="1:25" x14ac:dyDescent="0.25">
      <c r="A122" t="s">
        <v>256</v>
      </c>
      <c r="B122" s="3">
        <v>1743</v>
      </c>
      <c r="C122" s="3">
        <v>8</v>
      </c>
      <c r="D122" t="s">
        <v>91</v>
      </c>
      <c r="E122" t="s">
        <v>264</v>
      </c>
      <c r="F122" t="s">
        <v>265</v>
      </c>
      <c r="G122" s="3">
        <v>6</v>
      </c>
      <c r="H122" s="14">
        <v>1.0830055256742639</v>
      </c>
      <c r="I122" s="4">
        <v>1</v>
      </c>
      <c r="J122" s="3">
        <v>0</v>
      </c>
      <c r="K122" t="s">
        <v>68</v>
      </c>
      <c r="M122" t="s">
        <v>256</v>
      </c>
      <c r="N122">
        <v>1741</v>
      </c>
      <c r="O122">
        <v>8</v>
      </c>
      <c r="P122" t="s">
        <v>91</v>
      </c>
      <c r="Q122" t="s">
        <v>264</v>
      </c>
      <c r="R122" t="s">
        <v>265</v>
      </c>
      <c r="S122">
        <v>6</v>
      </c>
      <c r="T122">
        <v>1.0815740438164121</v>
      </c>
      <c r="U122">
        <v>1</v>
      </c>
      <c r="V122">
        <v>0</v>
      </c>
      <c r="W122" t="s">
        <v>68</v>
      </c>
      <c r="Y122" t="b">
        <f t="shared" si="1"/>
        <v>1</v>
      </c>
    </row>
    <row r="123" spans="1:25" x14ac:dyDescent="0.25">
      <c r="A123" t="s">
        <v>256</v>
      </c>
      <c r="B123" s="3">
        <v>1743</v>
      </c>
      <c r="C123" s="3">
        <v>9</v>
      </c>
      <c r="D123" t="s">
        <v>91</v>
      </c>
      <c r="E123" t="s">
        <v>266</v>
      </c>
      <c r="F123" t="s">
        <v>267</v>
      </c>
      <c r="G123" s="3">
        <v>7</v>
      </c>
      <c r="H123" s="14">
        <v>1.041658937382014</v>
      </c>
      <c r="I123" s="4">
        <v>1</v>
      </c>
      <c r="J123" s="3">
        <v>0</v>
      </c>
      <c r="K123" t="s">
        <v>68</v>
      </c>
      <c r="M123" t="s">
        <v>256</v>
      </c>
      <c r="N123">
        <v>1741</v>
      </c>
      <c r="O123">
        <v>9</v>
      </c>
      <c r="P123" t="s">
        <v>91</v>
      </c>
      <c r="Q123" t="s">
        <v>266</v>
      </c>
      <c r="R123" t="s">
        <v>267</v>
      </c>
      <c r="S123">
        <v>7</v>
      </c>
      <c r="T123">
        <v>1.0402906046698219</v>
      </c>
      <c r="U123">
        <v>1</v>
      </c>
      <c r="V123">
        <v>0</v>
      </c>
      <c r="W123" t="s">
        <v>68</v>
      </c>
      <c r="Y123" t="b">
        <f t="shared" si="1"/>
        <v>1</v>
      </c>
    </row>
    <row r="124" spans="1:25" x14ac:dyDescent="0.25">
      <c r="A124" t="s">
        <v>256</v>
      </c>
      <c r="B124" s="3">
        <v>1743</v>
      </c>
      <c r="C124" s="3">
        <v>10</v>
      </c>
      <c r="D124" t="s">
        <v>91</v>
      </c>
      <c r="E124" t="s">
        <v>268</v>
      </c>
      <c r="F124" t="s">
        <v>269</v>
      </c>
      <c r="G124" s="3">
        <v>8</v>
      </c>
      <c r="H124" s="14">
        <v>1</v>
      </c>
      <c r="I124" s="4">
        <v>1</v>
      </c>
      <c r="J124" s="3">
        <v>0</v>
      </c>
      <c r="K124" t="s">
        <v>68</v>
      </c>
      <c r="M124" t="s">
        <v>256</v>
      </c>
      <c r="N124">
        <v>1741</v>
      </c>
      <c r="O124">
        <v>10</v>
      </c>
      <c r="P124" t="s">
        <v>91</v>
      </c>
      <c r="Q124" t="s">
        <v>268</v>
      </c>
      <c r="R124" t="s">
        <v>270</v>
      </c>
      <c r="S124">
        <v>8</v>
      </c>
      <c r="T124">
        <v>1</v>
      </c>
      <c r="U124">
        <v>1</v>
      </c>
      <c r="V124">
        <v>0</v>
      </c>
      <c r="W124" t="s">
        <v>68</v>
      </c>
      <c r="Y124" t="b">
        <f t="shared" si="1"/>
        <v>1</v>
      </c>
    </row>
    <row r="125" spans="1:25" x14ac:dyDescent="0.25">
      <c r="A125" t="s">
        <v>256</v>
      </c>
      <c r="B125" s="3">
        <v>1743</v>
      </c>
      <c r="C125" s="3">
        <v>11</v>
      </c>
      <c r="D125" t="s">
        <v>91</v>
      </c>
      <c r="E125" t="s">
        <v>131</v>
      </c>
      <c r="F125" t="s">
        <v>271</v>
      </c>
      <c r="G125" s="3">
        <v>9</v>
      </c>
      <c r="H125" s="14">
        <v>0.85511937039047003</v>
      </c>
      <c r="I125" s="4">
        <v>1</v>
      </c>
      <c r="J125" s="3">
        <v>0</v>
      </c>
      <c r="K125" t="s">
        <v>68</v>
      </c>
      <c r="M125" t="s">
        <v>256</v>
      </c>
      <c r="N125">
        <v>1741</v>
      </c>
      <c r="O125">
        <v>11</v>
      </c>
      <c r="P125" t="s">
        <v>91</v>
      </c>
      <c r="Q125" t="s">
        <v>131</v>
      </c>
      <c r="R125" t="s">
        <v>235</v>
      </c>
      <c r="S125">
        <v>9</v>
      </c>
      <c r="T125">
        <v>0.85399848904799047</v>
      </c>
      <c r="U125">
        <v>1</v>
      </c>
      <c r="V125">
        <v>0</v>
      </c>
      <c r="W125" t="s">
        <v>68</v>
      </c>
      <c r="Y125" t="b">
        <f t="shared" si="1"/>
        <v>1</v>
      </c>
    </row>
    <row r="126" spans="1:25" x14ac:dyDescent="0.25">
      <c r="A126" t="s">
        <v>256</v>
      </c>
      <c r="B126" s="3">
        <v>1743</v>
      </c>
      <c r="C126" s="3">
        <v>12</v>
      </c>
      <c r="D126" t="s">
        <v>91</v>
      </c>
      <c r="E126" t="s">
        <v>168</v>
      </c>
      <c r="F126" t="s">
        <v>169</v>
      </c>
      <c r="J126" s="3">
        <v>1</v>
      </c>
      <c r="K126" t="s">
        <v>68</v>
      </c>
      <c r="M126" t="s">
        <v>256</v>
      </c>
      <c r="N126">
        <v>1741</v>
      </c>
      <c r="O126">
        <v>12</v>
      </c>
      <c r="P126" t="s">
        <v>91</v>
      </c>
      <c r="Q126" t="s">
        <v>168</v>
      </c>
      <c r="R126" t="s">
        <v>169</v>
      </c>
      <c r="V126">
        <v>1</v>
      </c>
      <c r="W126" t="s">
        <v>68</v>
      </c>
      <c r="Y126" t="b">
        <f t="shared" si="1"/>
        <v>1</v>
      </c>
    </row>
    <row r="129" spans="1:25" ht="15.75" x14ac:dyDescent="0.3">
      <c r="A129" s="12" t="s">
        <v>272</v>
      </c>
      <c r="M129" s="12" t="s">
        <v>272</v>
      </c>
    </row>
    <row r="130" spans="1:25" ht="30.75" thickBot="1" x14ac:dyDescent="0.3">
      <c r="A130" s="2" t="s">
        <v>80</v>
      </c>
      <c r="B130" s="2" t="s">
        <v>13</v>
      </c>
      <c r="C130" s="2" t="s">
        <v>81</v>
      </c>
      <c r="D130" s="2" t="s">
        <v>82</v>
      </c>
      <c r="E130" s="2" t="s">
        <v>83</v>
      </c>
      <c r="F130" s="2" t="s">
        <v>84</v>
      </c>
      <c r="G130" s="2" t="s">
        <v>85</v>
      </c>
      <c r="H130" s="2" t="s">
        <v>86</v>
      </c>
      <c r="I130" s="2" t="s">
        <v>87</v>
      </c>
      <c r="J130" s="2" t="s">
        <v>88</v>
      </c>
      <c r="K130" s="2" t="s">
        <v>89</v>
      </c>
      <c r="M130" s="2" t="s">
        <v>80</v>
      </c>
      <c r="N130" s="2" t="s">
        <v>13</v>
      </c>
      <c r="O130" s="2" t="s">
        <v>81</v>
      </c>
      <c r="P130" s="2" t="s">
        <v>82</v>
      </c>
      <c r="Q130" s="2" t="s">
        <v>83</v>
      </c>
      <c r="R130" s="2" t="s">
        <v>84</v>
      </c>
      <c r="S130" s="2" t="s">
        <v>85</v>
      </c>
      <c r="T130" s="2" t="s">
        <v>86</v>
      </c>
      <c r="U130" s="2" t="s">
        <v>87</v>
      </c>
      <c r="V130" s="2" t="s">
        <v>88</v>
      </c>
      <c r="W130" s="2" t="s">
        <v>89</v>
      </c>
    </row>
    <row r="131" spans="1:25" x14ac:dyDescent="0.25">
      <c r="A131" t="s">
        <v>273</v>
      </c>
      <c r="B131" s="3">
        <v>1745</v>
      </c>
      <c r="C131" s="3">
        <v>1</v>
      </c>
      <c r="D131" t="s">
        <v>91</v>
      </c>
      <c r="E131" t="s">
        <v>161</v>
      </c>
      <c r="F131" t="s">
        <v>162</v>
      </c>
      <c r="G131" s="3">
        <v>1</v>
      </c>
      <c r="H131" s="4">
        <v>3.6412567306245531</v>
      </c>
      <c r="I131" s="4">
        <v>3</v>
      </c>
      <c r="J131" s="3">
        <v>0</v>
      </c>
      <c r="K131" t="s">
        <v>68</v>
      </c>
      <c r="M131" t="s">
        <v>273</v>
      </c>
      <c r="N131">
        <v>1740</v>
      </c>
      <c r="O131">
        <v>1</v>
      </c>
      <c r="Q131" t="s">
        <v>161</v>
      </c>
      <c r="R131" t="s">
        <v>162</v>
      </c>
      <c r="V131">
        <v>0</v>
      </c>
      <c r="W131" t="s">
        <v>68</v>
      </c>
      <c r="Y131" t="e">
        <f>E131=#REF!</f>
        <v>#REF!</v>
      </c>
    </row>
    <row r="132" spans="1:25" x14ac:dyDescent="0.25">
      <c r="A132" t="s">
        <v>273</v>
      </c>
      <c r="B132" s="3">
        <v>1745</v>
      </c>
      <c r="C132" s="3">
        <v>2</v>
      </c>
      <c r="D132" t="s">
        <v>91</v>
      </c>
      <c r="E132" t="s">
        <v>274</v>
      </c>
      <c r="F132" t="s">
        <v>275</v>
      </c>
      <c r="G132" s="3">
        <v>2</v>
      </c>
      <c r="H132" s="4">
        <v>3.1034876109699292</v>
      </c>
      <c r="I132" s="4">
        <v>3</v>
      </c>
      <c r="J132" s="3">
        <v>0</v>
      </c>
      <c r="K132" t="s">
        <v>68</v>
      </c>
      <c r="M132" t="s">
        <v>273</v>
      </c>
      <c r="N132">
        <v>1740</v>
      </c>
      <c r="O132">
        <v>2</v>
      </c>
      <c r="Q132" t="s">
        <v>274</v>
      </c>
      <c r="R132" t="s">
        <v>275</v>
      </c>
      <c r="V132">
        <v>0</v>
      </c>
      <c r="W132" t="s">
        <v>68</v>
      </c>
      <c r="Y132" t="e">
        <f>E132=#REF!</f>
        <v>#REF!</v>
      </c>
    </row>
    <row r="133" spans="1:25" x14ac:dyDescent="0.25">
      <c r="A133" t="s">
        <v>273</v>
      </c>
      <c r="B133" s="3">
        <v>1745</v>
      </c>
      <c r="C133" s="3">
        <v>3</v>
      </c>
      <c r="D133" t="s">
        <v>91</v>
      </c>
      <c r="E133" t="s">
        <v>276</v>
      </c>
      <c r="F133" t="s">
        <v>277</v>
      </c>
      <c r="G133" s="3">
        <v>3</v>
      </c>
      <c r="H133" s="4">
        <v>2.4428749685511888</v>
      </c>
      <c r="I133" s="4">
        <v>2</v>
      </c>
      <c r="J133" s="3">
        <v>0</v>
      </c>
      <c r="K133" t="s">
        <v>68</v>
      </c>
      <c r="M133" t="s">
        <v>273</v>
      </c>
      <c r="N133">
        <v>1740</v>
      </c>
      <c r="O133">
        <v>3</v>
      </c>
      <c r="P133" t="s">
        <v>91</v>
      </c>
      <c r="Q133" t="s">
        <v>276</v>
      </c>
      <c r="R133" t="s">
        <v>277</v>
      </c>
      <c r="S133">
        <v>1</v>
      </c>
      <c r="T133">
        <v>3.6361323112697819</v>
      </c>
      <c r="U133">
        <v>3</v>
      </c>
      <c r="V133">
        <v>0</v>
      </c>
      <c r="W133" t="s">
        <v>68</v>
      </c>
      <c r="Y133" t="b">
        <f t="shared" ref="Y133:Y142" si="2">E133=Q131</f>
        <v>0</v>
      </c>
    </row>
    <row r="134" spans="1:25" x14ac:dyDescent="0.25">
      <c r="A134" t="s">
        <v>273</v>
      </c>
      <c r="B134" s="3">
        <v>1745</v>
      </c>
      <c r="C134" s="3">
        <v>4</v>
      </c>
      <c r="D134" t="s">
        <v>91</v>
      </c>
      <c r="E134" t="s">
        <v>104</v>
      </c>
      <c r="F134" t="s">
        <v>105</v>
      </c>
      <c r="G134" s="3">
        <v>4</v>
      </c>
      <c r="H134" s="4">
        <v>2.2926918745393641</v>
      </c>
      <c r="I134" s="4">
        <v>2</v>
      </c>
      <c r="J134" s="3">
        <v>0</v>
      </c>
      <c r="K134" t="s">
        <v>68</v>
      </c>
      <c r="M134" t="s">
        <v>273</v>
      </c>
      <c r="N134">
        <v>1740</v>
      </c>
      <c r="O134">
        <v>4</v>
      </c>
      <c r="P134" t="s">
        <v>91</v>
      </c>
      <c r="Q134" t="s">
        <v>104</v>
      </c>
      <c r="R134" t="s">
        <v>105</v>
      </c>
      <c r="S134">
        <v>2</v>
      </c>
      <c r="T134">
        <v>3.0996550317523872</v>
      </c>
      <c r="U134">
        <v>3</v>
      </c>
      <c r="V134">
        <v>0</v>
      </c>
      <c r="W134" t="s">
        <v>68</v>
      </c>
      <c r="Y134" t="b">
        <f t="shared" si="2"/>
        <v>0</v>
      </c>
    </row>
    <row r="135" spans="1:25" x14ac:dyDescent="0.25">
      <c r="A135" t="s">
        <v>273</v>
      </c>
      <c r="B135" s="3">
        <v>1745</v>
      </c>
      <c r="C135" s="3">
        <v>5</v>
      </c>
      <c r="D135" t="s">
        <v>91</v>
      </c>
      <c r="E135" t="s">
        <v>168</v>
      </c>
      <c r="F135" t="s">
        <v>169</v>
      </c>
      <c r="G135" s="3">
        <v>5</v>
      </c>
      <c r="H135" s="4">
        <v>1.906844298789641</v>
      </c>
      <c r="I135" s="4">
        <v>2</v>
      </c>
      <c r="J135" s="3">
        <v>0</v>
      </c>
      <c r="K135" t="s">
        <v>68</v>
      </c>
      <c r="M135" t="s">
        <v>273</v>
      </c>
      <c r="N135">
        <v>1740</v>
      </c>
      <c r="O135">
        <v>5</v>
      </c>
      <c r="P135" t="s">
        <v>91</v>
      </c>
      <c r="Q135" t="s">
        <v>168</v>
      </c>
      <c r="R135" t="s">
        <v>169</v>
      </c>
      <c r="S135">
        <v>3</v>
      </c>
      <c r="T135">
        <v>2.4396151839725149</v>
      </c>
      <c r="U135">
        <v>2</v>
      </c>
      <c r="V135">
        <v>0</v>
      </c>
      <c r="W135" t="s">
        <v>68</v>
      </c>
      <c r="Y135" t="b">
        <f t="shared" si="2"/>
        <v>0</v>
      </c>
    </row>
    <row r="136" spans="1:25" x14ac:dyDescent="0.25">
      <c r="A136" t="s">
        <v>273</v>
      </c>
      <c r="B136" s="3">
        <v>1745</v>
      </c>
      <c r="C136" s="3">
        <v>6</v>
      </c>
      <c r="D136" t="s">
        <v>91</v>
      </c>
      <c r="E136" t="s">
        <v>172</v>
      </c>
      <c r="F136" t="s">
        <v>189</v>
      </c>
      <c r="G136" s="3">
        <v>6</v>
      </c>
      <c r="H136" s="4">
        <v>1.7018602753922241</v>
      </c>
      <c r="I136" s="4">
        <v>2</v>
      </c>
      <c r="J136" s="3">
        <v>0</v>
      </c>
      <c r="K136" t="s">
        <v>68</v>
      </c>
      <c r="M136" t="s">
        <v>273</v>
      </c>
      <c r="N136">
        <v>1740</v>
      </c>
      <c r="O136">
        <v>6</v>
      </c>
      <c r="P136" t="s">
        <v>91</v>
      </c>
      <c r="Q136" t="s">
        <v>172</v>
      </c>
      <c r="R136" t="s">
        <v>174</v>
      </c>
      <c r="S136">
        <v>4</v>
      </c>
      <c r="T136">
        <v>2.2896927990727809</v>
      </c>
      <c r="U136">
        <v>2</v>
      </c>
      <c r="V136">
        <v>0</v>
      </c>
      <c r="W136" t="s">
        <v>68</v>
      </c>
      <c r="Y136" t="b">
        <f t="shared" si="2"/>
        <v>0</v>
      </c>
    </row>
    <row r="137" spans="1:25" x14ac:dyDescent="0.25">
      <c r="A137" t="s">
        <v>273</v>
      </c>
      <c r="B137" s="3">
        <v>1745</v>
      </c>
      <c r="C137" s="3">
        <v>7</v>
      </c>
      <c r="D137" t="s">
        <v>91</v>
      </c>
      <c r="E137" t="s">
        <v>257</v>
      </c>
      <c r="F137" t="s">
        <v>258</v>
      </c>
      <c r="G137" s="3">
        <v>7</v>
      </c>
      <c r="H137" s="4">
        <v>1.5335571098073539</v>
      </c>
      <c r="I137" s="4">
        <v>2</v>
      </c>
      <c r="J137" s="3">
        <v>0</v>
      </c>
      <c r="K137" t="s">
        <v>68</v>
      </c>
      <c r="M137" t="s">
        <v>273</v>
      </c>
      <c r="N137">
        <v>1740</v>
      </c>
      <c r="O137">
        <v>7</v>
      </c>
      <c r="P137" t="s">
        <v>91</v>
      </c>
      <c r="Q137" t="s">
        <v>257</v>
      </c>
      <c r="R137" t="s">
        <v>258</v>
      </c>
      <c r="S137">
        <v>5</v>
      </c>
      <c r="T137">
        <v>1.9043836952160871</v>
      </c>
      <c r="U137">
        <v>2</v>
      </c>
      <c r="V137">
        <v>0</v>
      </c>
      <c r="W137" t="s">
        <v>68</v>
      </c>
      <c r="Y137" t="b">
        <f t="shared" si="2"/>
        <v>0</v>
      </c>
    </row>
    <row r="138" spans="1:25" x14ac:dyDescent="0.25">
      <c r="A138" t="s">
        <v>273</v>
      </c>
      <c r="B138" s="3">
        <v>1745</v>
      </c>
      <c r="C138" s="3">
        <v>8</v>
      </c>
      <c r="D138" t="s">
        <v>91</v>
      </c>
      <c r="E138" t="s">
        <v>278</v>
      </c>
      <c r="F138" t="s">
        <v>279</v>
      </c>
      <c r="G138" s="3">
        <v>8</v>
      </c>
      <c r="H138" s="4">
        <v>1.37616425406538</v>
      </c>
      <c r="I138" s="4">
        <v>1</v>
      </c>
      <c r="J138" s="3">
        <v>0</v>
      </c>
      <c r="K138" t="s">
        <v>68</v>
      </c>
      <c r="M138" t="s">
        <v>273</v>
      </c>
      <c r="N138">
        <v>1740</v>
      </c>
      <c r="O138">
        <v>8</v>
      </c>
      <c r="P138" t="s">
        <v>91</v>
      </c>
      <c r="Q138" t="s">
        <v>278</v>
      </c>
      <c r="R138" t="s">
        <v>279</v>
      </c>
      <c r="S138">
        <v>6</v>
      </c>
      <c r="T138">
        <v>1.6996162565323449</v>
      </c>
      <c r="U138">
        <v>2</v>
      </c>
      <c r="V138">
        <v>0</v>
      </c>
      <c r="W138" t="s">
        <v>68</v>
      </c>
      <c r="Y138" t="b">
        <f t="shared" si="2"/>
        <v>0</v>
      </c>
    </row>
    <row r="139" spans="1:25" x14ac:dyDescent="0.25">
      <c r="A139" t="s">
        <v>273</v>
      </c>
      <c r="B139" s="3">
        <v>1745</v>
      </c>
      <c r="C139" s="3">
        <v>9</v>
      </c>
      <c r="D139" t="s">
        <v>91</v>
      </c>
      <c r="E139" t="s">
        <v>280</v>
      </c>
      <c r="F139" t="s">
        <v>281</v>
      </c>
      <c r="G139" s="3">
        <v>9</v>
      </c>
      <c r="H139" s="4">
        <v>1.2132478667706461</v>
      </c>
      <c r="I139" s="4">
        <v>1</v>
      </c>
      <c r="J139" s="3">
        <v>0</v>
      </c>
      <c r="K139" t="s">
        <v>68</v>
      </c>
      <c r="M139" t="s">
        <v>273</v>
      </c>
      <c r="N139">
        <v>1740</v>
      </c>
      <c r="O139">
        <v>9</v>
      </c>
      <c r="P139" t="s">
        <v>91</v>
      </c>
      <c r="Q139" t="s">
        <v>280</v>
      </c>
      <c r="R139" t="s">
        <v>281</v>
      </c>
      <c r="S139">
        <v>7</v>
      </c>
      <c r="T139">
        <v>1.531296795685241</v>
      </c>
      <c r="U139">
        <v>2</v>
      </c>
      <c r="V139">
        <v>0</v>
      </c>
      <c r="W139" t="s">
        <v>68</v>
      </c>
      <c r="Y139" t="b">
        <f t="shared" si="2"/>
        <v>0</v>
      </c>
    </row>
    <row r="140" spans="1:25" x14ac:dyDescent="0.25">
      <c r="A140" t="s">
        <v>273</v>
      </c>
      <c r="B140" s="3">
        <v>1745</v>
      </c>
      <c r="C140" s="3">
        <v>10</v>
      </c>
      <c r="D140" t="s">
        <v>91</v>
      </c>
      <c r="E140" t="s">
        <v>175</v>
      </c>
      <c r="F140" t="s">
        <v>176</v>
      </c>
      <c r="G140" s="3">
        <v>10</v>
      </c>
      <c r="H140" s="4">
        <v>1.213178211012347</v>
      </c>
      <c r="I140" s="4">
        <v>1</v>
      </c>
      <c r="J140" s="3">
        <v>0</v>
      </c>
      <c r="K140" t="s">
        <v>68</v>
      </c>
      <c r="M140" t="s">
        <v>273</v>
      </c>
      <c r="N140">
        <v>1740</v>
      </c>
      <c r="O140">
        <v>10</v>
      </c>
      <c r="P140" t="s">
        <v>91</v>
      </c>
      <c r="Q140" t="s">
        <v>175</v>
      </c>
      <c r="R140" t="s">
        <v>176</v>
      </c>
      <c r="S140">
        <v>8</v>
      </c>
      <c r="T140">
        <v>1.374353528814054</v>
      </c>
      <c r="U140">
        <v>1</v>
      </c>
      <c r="V140">
        <v>0</v>
      </c>
      <c r="W140" t="s">
        <v>68</v>
      </c>
      <c r="Y140" t="b">
        <f t="shared" si="2"/>
        <v>0</v>
      </c>
    </row>
    <row r="141" spans="1:25" x14ac:dyDescent="0.25">
      <c r="A141" t="s">
        <v>273</v>
      </c>
      <c r="B141" s="3">
        <v>1745</v>
      </c>
      <c r="C141" s="3">
        <v>11</v>
      </c>
      <c r="D141" t="s">
        <v>91</v>
      </c>
      <c r="E141" t="s">
        <v>282</v>
      </c>
      <c r="F141" t="s">
        <v>283</v>
      </c>
      <c r="G141" s="3">
        <v>11</v>
      </c>
      <c r="H141" s="4">
        <v>1.1630783488805461</v>
      </c>
      <c r="I141" s="4">
        <v>1</v>
      </c>
      <c r="J141" s="3">
        <v>0</v>
      </c>
      <c r="K141" t="s">
        <v>68</v>
      </c>
      <c r="M141" t="s">
        <v>273</v>
      </c>
      <c r="N141">
        <v>1740</v>
      </c>
      <c r="O141">
        <v>11</v>
      </c>
      <c r="P141" t="s">
        <v>91</v>
      </c>
      <c r="S141">
        <v>9</v>
      </c>
      <c r="T141">
        <v>1.2116177971446711</v>
      </c>
      <c r="U141">
        <v>1</v>
      </c>
      <c r="V141">
        <v>0</v>
      </c>
      <c r="W141" t="s">
        <v>68</v>
      </c>
      <c r="Y141" t="b">
        <f t="shared" si="2"/>
        <v>0</v>
      </c>
    </row>
    <row r="142" spans="1:25" x14ac:dyDescent="0.25">
      <c r="A142" t="s">
        <v>273</v>
      </c>
      <c r="B142" s="3">
        <v>1745</v>
      </c>
      <c r="C142" s="3">
        <v>12</v>
      </c>
      <c r="D142" t="s">
        <v>91</v>
      </c>
      <c r="E142" t="s">
        <v>198</v>
      </c>
      <c r="F142" t="s">
        <v>284</v>
      </c>
      <c r="G142" s="3">
        <v>12</v>
      </c>
      <c r="H142" s="4">
        <v>1.124576744218782</v>
      </c>
      <c r="I142" s="4">
        <v>1</v>
      </c>
      <c r="J142" s="3">
        <v>0</v>
      </c>
      <c r="K142" t="s">
        <v>68</v>
      </c>
      <c r="M142" t="s">
        <v>273</v>
      </c>
      <c r="N142">
        <v>1740</v>
      </c>
      <c r="O142">
        <v>12</v>
      </c>
      <c r="P142" t="s">
        <v>91</v>
      </c>
      <c r="S142">
        <v>10</v>
      </c>
      <c r="T142">
        <v>1.2115387616316</v>
      </c>
      <c r="U142">
        <v>1</v>
      </c>
      <c r="V142">
        <v>0</v>
      </c>
      <c r="W142" t="s">
        <v>68</v>
      </c>
      <c r="Y142" t="b">
        <f t="shared" si="2"/>
        <v>0</v>
      </c>
    </row>
    <row r="145" spans="1:25" ht="15.75" x14ac:dyDescent="0.3">
      <c r="A145" s="12" t="s">
        <v>285</v>
      </c>
      <c r="M145" s="12" t="s">
        <v>285</v>
      </c>
    </row>
    <row r="146" spans="1:25" ht="30.75" thickBot="1" x14ac:dyDescent="0.3">
      <c r="A146" s="2" t="s">
        <v>80</v>
      </c>
      <c r="B146" s="2" t="s">
        <v>13</v>
      </c>
      <c r="C146" s="2" t="s">
        <v>81</v>
      </c>
      <c r="D146" s="2" t="s">
        <v>82</v>
      </c>
      <c r="E146" s="2" t="s">
        <v>83</v>
      </c>
      <c r="F146" s="2" t="s">
        <v>84</v>
      </c>
      <c r="G146" s="2" t="s">
        <v>85</v>
      </c>
      <c r="H146" s="2" t="s">
        <v>86</v>
      </c>
      <c r="I146" s="2" t="s">
        <v>87</v>
      </c>
      <c r="J146" s="2" t="s">
        <v>88</v>
      </c>
      <c r="K146" s="2" t="s">
        <v>89</v>
      </c>
      <c r="M146" s="2" t="s">
        <v>80</v>
      </c>
      <c r="N146" s="2" t="s">
        <v>13</v>
      </c>
      <c r="O146" s="2" t="s">
        <v>81</v>
      </c>
      <c r="P146" s="2" t="s">
        <v>82</v>
      </c>
      <c r="Q146" s="2" t="s">
        <v>83</v>
      </c>
      <c r="R146" s="2" t="s">
        <v>84</v>
      </c>
      <c r="S146" s="2" t="s">
        <v>85</v>
      </c>
      <c r="T146" s="2" t="s">
        <v>86</v>
      </c>
      <c r="U146" s="2" t="s">
        <v>87</v>
      </c>
      <c r="V146" s="2" t="s">
        <v>88</v>
      </c>
      <c r="W146" s="2" t="s">
        <v>89</v>
      </c>
    </row>
    <row r="147" spans="1:25" x14ac:dyDescent="0.25">
      <c r="A147" t="s">
        <v>286</v>
      </c>
      <c r="B147" s="3">
        <v>1745</v>
      </c>
      <c r="C147" s="3">
        <v>1</v>
      </c>
      <c r="D147" t="s">
        <v>91</v>
      </c>
      <c r="E147" t="s">
        <v>276</v>
      </c>
      <c r="F147" t="s">
        <v>287</v>
      </c>
      <c r="G147" s="3">
        <v>1</v>
      </c>
      <c r="H147" s="4">
        <v>4.0781930772862109</v>
      </c>
      <c r="I147" s="4">
        <v>4</v>
      </c>
      <c r="J147" s="3">
        <v>0</v>
      </c>
      <c r="K147" t="s">
        <v>68</v>
      </c>
      <c r="M147" t="s">
        <v>286</v>
      </c>
      <c r="N147">
        <v>1745</v>
      </c>
      <c r="O147">
        <v>1</v>
      </c>
      <c r="P147" t="s">
        <v>91</v>
      </c>
      <c r="Q147" t="s">
        <v>276</v>
      </c>
      <c r="R147" t="s">
        <v>277</v>
      </c>
      <c r="S147">
        <v>1</v>
      </c>
      <c r="T147">
        <v>4.0729030111519249</v>
      </c>
      <c r="U147">
        <v>4</v>
      </c>
      <c r="V147">
        <v>0</v>
      </c>
      <c r="W147" t="s">
        <v>68</v>
      </c>
      <c r="Y147" t="b">
        <f t="shared" ref="Y147:Y195" si="3">E147=Q147</f>
        <v>1</v>
      </c>
    </row>
    <row r="148" spans="1:25" x14ac:dyDescent="0.25">
      <c r="A148" t="s">
        <v>286</v>
      </c>
      <c r="B148" s="3">
        <v>1745</v>
      </c>
      <c r="C148" s="3">
        <v>2</v>
      </c>
      <c r="D148" t="s">
        <v>91</v>
      </c>
      <c r="E148" t="s">
        <v>250</v>
      </c>
      <c r="F148" t="s">
        <v>251</v>
      </c>
      <c r="G148" s="3">
        <v>2</v>
      </c>
      <c r="H148" s="4">
        <v>3.6498502709984169</v>
      </c>
      <c r="I148" s="4">
        <v>5</v>
      </c>
      <c r="J148" s="3">
        <v>0</v>
      </c>
      <c r="K148" t="s">
        <v>68</v>
      </c>
      <c r="M148" t="s">
        <v>286</v>
      </c>
      <c r="N148">
        <v>1745</v>
      </c>
      <c r="O148">
        <v>2</v>
      </c>
      <c r="P148" t="s">
        <v>91</v>
      </c>
      <c r="Q148" t="s">
        <v>250</v>
      </c>
      <c r="R148" t="s">
        <v>251</v>
      </c>
      <c r="S148">
        <v>2</v>
      </c>
      <c r="T148">
        <v>3.6459448095522222</v>
      </c>
      <c r="U148">
        <v>5</v>
      </c>
      <c r="V148">
        <v>0</v>
      </c>
      <c r="W148" t="s">
        <v>68</v>
      </c>
      <c r="Y148" t="b">
        <f t="shared" si="3"/>
        <v>1</v>
      </c>
    </row>
    <row r="149" spans="1:25" x14ac:dyDescent="0.25">
      <c r="A149" t="s">
        <v>286</v>
      </c>
      <c r="B149" s="3">
        <v>1745</v>
      </c>
      <c r="C149" s="3">
        <v>3</v>
      </c>
      <c r="D149" t="s">
        <v>91</v>
      </c>
      <c r="E149" t="s">
        <v>268</v>
      </c>
      <c r="F149" t="s">
        <v>288</v>
      </c>
      <c r="G149" s="3">
        <v>3</v>
      </c>
      <c r="H149" s="4">
        <v>2.8290771062995028</v>
      </c>
      <c r="I149" s="4">
        <v>2.5</v>
      </c>
      <c r="J149" s="3">
        <v>0</v>
      </c>
      <c r="K149" t="s">
        <v>68</v>
      </c>
      <c r="M149" t="s">
        <v>286</v>
      </c>
      <c r="N149">
        <v>1745</v>
      </c>
      <c r="O149">
        <v>3</v>
      </c>
      <c r="P149" t="s">
        <v>91</v>
      </c>
      <c r="Q149" t="s">
        <v>268</v>
      </c>
      <c r="R149" t="s">
        <v>269</v>
      </c>
      <c r="S149">
        <v>3</v>
      </c>
      <c r="T149">
        <v>2.8263051013441589</v>
      </c>
      <c r="U149">
        <v>2.5</v>
      </c>
      <c r="V149">
        <v>0</v>
      </c>
      <c r="W149" t="s">
        <v>68</v>
      </c>
      <c r="Y149" t="b">
        <f t="shared" si="3"/>
        <v>1</v>
      </c>
    </row>
    <row r="150" spans="1:25" x14ac:dyDescent="0.25">
      <c r="A150" t="s">
        <v>286</v>
      </c>
      <c r="B150" s="3">
        <v>1745</v>
      </c>
      <c r="C150" s="3">
        <v>4</v>
      </c>
      <c r="D150" t="s">
        <v>91</v>
      </c>
      <c r="E150" t="s">
        <v>122</v>
      </c>
      <c r="F150" t="s">
        <v>289</v>
      </c>
      <c r="G150" s="3">
        <v>4</v>
      </c>
      <c r="H150" s="4">
        <v>2.0241764465449221</v>
      </c>
      <c r="I150" s="4">
        <v>2</v>
      </c>
      <c r="J150" s="3">
        <v>0</v>
      </c>
      <c r="K150" t="s">
        <v>68</v>
      </c>
      <c r="M150" t="s">
        <v>286</v>
      </c>
      <c r="N150">
        <v>1745</v>
      </c>
      <c r="O150">
        <v>4</v>
      </c>
      <c r="P150" t="s">
        <v>91</v>
      </c>
      <c r="Q150" t="s">
        <v>122</v>
      </c>
      <c r="R150" t="s">
        <v>290</v>
      </c>
      <c r="S150">
        <v>4</v>
      </c>
      <c r="T150">
        <v>2.0215534397448991</v>
      </c>
      <c r="U150">
        <v>2</v>
      </c>
      <c r="V150">
        <v>0</v>
      </c>
      <c r="W150" t="s">
        <v>68</v>
      </c>
      <c r="Y150" t="b">
        <f t="shared" si="3"/>
        <v>1</v>
      </c>
    </row>
    <row r="151" spans="1:25" x14ac:dyDescent="0.25">
      <c r="A151" t="s">
        <v>286</v>
      </c>
      <c r="B151" s="3">
        <v>1745</v>
      </c>
      <c r="C151" s="3">
        <v>5</v>
      </c>
      <c r="D151" t="s">
        <v>91</v>
      </c>
      <c r="E151" t="s">
        <v>114</v>
      </c>
      <c r="F151" t="s">
        <v>115</v>
      </c>
      <c r="G151" s="3">
        <v>5</v>
      </c>
      <c r="H151" s="4">
        <v>1.6832674098058511</v>
      </c>
      <c r="I151" s="4">
        <v>2</v>
      </c>
      <c r="J151" s="3">
        <v>0</v>
      </c>
      <c r="K151" t="s">
        <v>68</v>
      </c>
      <c r="M151" t="s">
        <v>286</v>
      </c>
      <c r="N151">
        <v>1745</v>
      </c>
      <c r="O151">
        <v>5</v>
      </c>
      <c r="P151" t="s">
        <v>91</v>
      </c>
      <c r="Q151" t="s">
        <v>114</v>
      </c>
      <c r="R151" t="s">
        <v>115</v>
      </c>
      <c r="S151">
        <v>5</v>
      </c>
      <c r="T151">
        <v>1.681069177477382</v>
      </c>
      <c r="U151">
        <v>2</v>
      </c>
      <c r="V151">
        <v>0</v>
      </c>
      <c r="W151" t="s">
        <v>68</v>
      </c>
      <c r="Y151" t="b">
        <f t="shared" si="3"/>
        <v>1</v>
      </c>
    </row>
    <row r="152" spans="1:25" x14ac:dyDescent="0.25">
      <c r="A152" t="s">
        <v>286</v>
      </c>
      <c r="B152" s="3">
        <v>1745</v>
      </c>
      <c r="C152" s="3">
        <v>6</v>
      </c>
      <c r="D152" t="s">
        <v>91</v>
      </c>
      <c r="E152" t="s">
        <v>243</v>
      </c>
      <c r="F152" t="s">
        <v>291</v>
      </c>
      <c r="G152" s="3">
        <v>6</v>
      </c>
      <c r="H152" s="4">
        <v>1.2924842513141901</v>
      </c>
      <c r="I152" s="4">
        <v>1</v>
      </c>
      <c r="J152" s="3">
        <v>0</v>
      </c>
      <c r="K152" t="s">
        <v>68</v>
      </c>
      <c r="M152" t="s">
        <v>286</v>
      </c>
      <c r="N152">
        <v>1745</v>
      </c>
      <c r="O152">
        <v>6</v>
      </c>
      <c r="P152" t="s">
        <v>91</v>
      </c>
      <c r="Q152" t="s">
        <v>243</v>
      </c>
      <c r="R152" t="s">
        <v>244</v>
      </c>
      <c r="S152">
        <v>6</v>
      </c>
      <c r="T152">
        <v>1.2906213907807911</v>
      </c>
      <c r="U152">
        <v>1</v>
      </c>
      <c r="V152">
        <v>0</v>
      </c>
      <c r="W152" t="s">
        <v>68</v>
      </c>
      <c r="Y152" t="b">
        <f t="shared" si="3"/>
        <v>1</v>
      </c>
    </row>
    <row r="153" spans="1:25" x14ac:dyDescent="0.25">
      <c r="A153" t="s">
        <v>286</v>
      </c>
      <c r="B153" s="3">
        <v>1745</v>
      </c>
      <c r="C153" s="3">
        <v>7</v>
      </c>
      <c r="D153" t="s">
        <v>91</v>
      </c>
      <c r="E153" t="s">
        <v>106</v>
      </c>
      <c r="F153" t="s">
        <v>216</v>
      </c>
      <c r="G153" s="3">
        <v>7</v>
      </c>
      <c r="H153" s="4">
        <v>1.089308165599987</v>
      </c>
      <c r="I153" s="4">
        <v>1</v>
      </c>
      <c r="J153" s="3">
        <v>0</v>
      </c>
      <c r="K153" t="s">
        <v>68</v>
      </c>
      <c r="M153" t="s">
        <v>286</v>
      </c>
      <c r="N153">
        <v>1745</v>
      </c>
      <c r="O153">
        <v>7</v>
      </c>
      <c r="P153" t="s">
        <v>91</v>
      </c>
      <c r="Q153" t="s">
        <v>106</v>
      </c>
      <c r="R153" t="s">
        <v>217</v>
      </c>
      <c r="S153">
        <v>7</v>
      </c>
      <c r="T153">
        <v>1.0878685872158871</v>
      </c>
      <c r="U153">
        <v>1</v>
      </c>
      <c r="V153">
        <v>0</v>
      </c>
      <c r="W153" t="s">
        <v>68</v>
      </c>
      <c r="Y153" t="b">
        <f t="shared" si="3"/>
        <v>1</v>
      </c>
    </row>
    <row r="154" spans="1:25" x14ac:dyDescent="0.25">
      <c r="A154" t="s">
        <v>286</v>
      </c>
      <c r="B154" s="3">
        <v>1745</v>
      </c>
      <c r="C154" s="3">
        <v>8</v>
      </c>
      <c r="D154" t="s">
        <v>91</v>
      </c>
      <c r="E154" t="s">
        <v>292</v>
      </c>
      <c r="F154" t="s">
        <v>293</v>
      </c>
      <c r="G154" s="3">
        <v>8</v>
      </c>
      <c r="H154" s="4">
        <v>1</v>
      </c>
      <c r="I154" s="4">
        <v>1</v>
      </c>
      <c r="J154" s="3">
        <v>0</v>
      </c>
      <c r="K154" t="s">
        <v>68</v>
      </c>
      <c r="M154" t="s">
        <v>286</v>
      </c>
      <c r="N154">
        <v>1745</v>
      </c>
      <c r="O154">
        <v>8</v>
      </c>
      <c r="P154" t="s">
        <v>91</v>
      </c>
      <c r="Q154" t="s">
        <v>292</v>
      </c>
      <c r="R154" t="s">
        <v>294</v>
      </c>
      <c r="S154">
        <v>8</v>
      </c>
      <c r="T154">
        <v>1</v>
      </c>
      <c r="U154">
        <v>1</v>
      </c>
      <c r="V154">
        <v>0</v>
      </c>
      <c r="W154" t="s">
        <v>68</v>
      </c>
      <c r="Y154" t="b">
        <f t="shared" si="3"/>
        <v>1</v>
      </c>
    </row>
    <row r="155" spans="1:25" x14ac:dyDescent="0.25">
      <c r="A155" t="s">
        <v>286</v>
      </c>
      <c r="B155" s="3">
        <v>1745</v>
      </c>
      <c r="C155" s="3">
        <v>9</v>
      </c>
      <c r="D155" t="s">
        <v>91</v>
      </c>
      <c r="E155" t="s">
        <v>108</v>
      </c>
      <c r="F155" t="s">
        <v>113</v>
      </c>
      <c r="G155" s="3">
        <v>9</v>
      </c>
      <c r="H155" s="4">
        <v>0.9433133368804385</v>
      </c>
      <c r="I155" s="4">
        <v>1</v>
      </c>
      <c r="J155" s="3">
        <v>0</v>
      </c>
      <c r="K155" t="s">
        <v>68</v>
      </c>
      <c r="M155" t="s">
        <v>286</v>
      </c>
      <c r="N155">
        <v>1745</v>
      </c>
      <c r="O155">
        <v>9</v>
      </c>
      <c r="P155" t="s">
        <v>91</v>
      </c>
      <c r="Q155" t="s">
        <v>108</v>
      </c>
      <c r="R155" t="s">
        <v>295</v>
      </c>
      <c r="S155">
        <v>9</v>
      </c>
      <c r="T155">
        <v>0.94217865281148827</v>
      </c>
      <c r="U155">
        <v>1</v>
      </c>
      <c r="V155">
        <v>0</v>
      </c>
      <c r="W155" t="s">
        <v>68</v>
      </c>
      <c r="Y155" t="b">
        <f t="shared" si="3"/>
        <v>1</v>
      </c>
    </row>
    <row r="156" spans="1:25" x14ac:dyDescent="0.25">
      <c r="A156" t="s">
        <v>286</v>
      </c>
      <c r="B156" s="3">
        <v>1745</v>
      </c>
      <c r="C156" s="3">
        <v>10</v>
      </c>
      <c r="D156" t="s">
        <v>91</v>
      </c>
      <c r="E156" t="s">
        <v>296</v>
      </c>
      <c r="F156" t="s">
        <v>297</v>
      </c>
      <c r="G156" s="3">
        <v>10</v>
      </c>
      <c r="H156" s="4">
        <v>0.8164202355134379</v>
      </c>
      <c r="I156" s="4">
        <v>1</v>
      </c>
      <c r="J156" s="3">
        <v>0</v>
      </c>
      <c r="K156" t="s">
        <v>68</v>
      </c>
      <c r="M156" t="s">
        <v>286</v>
      </c>
      <c r="N156">
        <v>1745</v>
      </c>
      <c r="O156">
        <v>10</v>
      </c>
      <c r="P156" t="s">
        <v>91</v>
      </c>
      <c r="Q156" t="s">
        <v>296</v>
      </c>
      <c r="R156" t="s">
        <v>298</v>
      </c>
      <c r="S156">
        <v>10</v>
      </c>
      <c r="T156">
        <v>0.81534544724454749</v>
      </c>
      <c r="U156">
        <v>1</v>
      </c>
      <c r="V156">
        <v>0</v>
      </c>
      <c r="W156" t="s">
        <v>68</v>
      </c>
      <c r="Y156" t="b">
        <f t="shared" si="3"/>
        <v>1</v>
      </c>
    </row>
    <row r="157" spans="1:25" x14ac:dyDescent="0.25">
      <c r="A157" t="s">
        <v>286</v>
      </c>
      <c r="B157" s="3">
        <v>1745</v>
      </c>
      <c r="C157" s="3">
        <v>11</v>
      </c>
      <c r="D157" t="s">
        <v>91</v>
      </c>
      <c r="E157" t="s">
        <v>195</v>
      </c>
      <c r="F157" t="s">
        <v>197</v>
      </c>
      <c r="G157" s="3">
        <v>11</v>
      </c>
      <c r="H157" s="4">
        <v>0.62750517033852404</v>
      </c>
      <c r="I157" s="4">
        <v>1</v>
      </c>
      <c r="J157" s="3">
        <v>0</v>
      </c>
      <c r="K157" t="s">
        <v>68</v>
      </c>
      <c r="M157" t="s">
        <v>286</v>
      </c>
      <c r="N157">
        <v>1745</v>
      </c>
      <c r="O157">
        <v>11</v>
      </c>
      <c r="P157" t="s">
        <v>91</v>
      </c>
      <c r="Q157" t="s">
        <v>195</v>
      </c>
      <c r="R157" t="s">
        <v>299</v>
      </c>
      <c r="S157">
        <v>11</v>
      </c>
      <c r="T157">
        <v>0.62660451186668509</v>
      </c>
      <c r="U157">
        <v>1</v>
      </c>
      <c r="V157">
        <v>0</v>
      </c>
      <c r="W157" t="s">
        <v>68</v>
      </c>
      <c r="Y157" t="b">
        <f t="shared" si="3"/>
        <v>1</v>
      </c>
    </row>
    <row r="158" spans="1:25" x14ac:dyDescent="0.25">
      <c r="A158" t="s">
        <v>286</v>
      </c>
      <c r="B158" s="3">
        <v>1745</v>
      </c>
      <c r="C158" s="3">
        <v>12</v>
      </c>
      <c r="D158" t="s">
        <v>91</v>
      </c>
      <c r="E158" t="s">
        <v>300</v>
      </c>
      <c r="F158" t="s">
        <v>301</v>
      </c>
      <c r="G158" s="3">
        <v>12</v>
      </c>
      <c r="H158" s="4">
        <v>0.44300350398996202</v>
      </c>
      <c r="I158" s="4">
        <v>0.5</v>
      </c>
      <c r="J158" s="3">
        <v>0</v>
      </c>
      <c r="K158" t="s">
        <v>68</v>
      </c>
      <c r="M158" t="s">
        <v>286</v>
      </c>
      <c r="N158">
        <v>1745</v>
      </c>
      <c r="O158">
        <v>12</v>
      </c>
      <c r="P158" t="s">
        <v>91</v>
      </c>
      <c r="Q158" t="s">
        <v>300</v>
      </c>
      <c r="R158" t="s">
        <v>302</v>
      </c>
      <c r="S158">
        <v>12</v>
      </c>
      <c r="T158">
        <v>0.4424081932104344</v>
      </c>
      <c r="U158">
        <v>0.5</v>
      </c>
      <c r="V158">
        <v>0</v>
      </c>
      <c r="W158" t="s">
        <v>68</v>
      </c>
      <c r="Y158" t="b">
        <f t="shared" si="3"/>
        <v>1</v>
      </c>
    </row>
    <row r="161" spans="1:25" ht="15.75" x14ac:dyDescent="0.3">
      <c r="A161" s="12" t="s">
        <v>303</v>
      </c>
      <c r="M161" s="12" t="s">
        <v>303</v>
      </c>
    </row>
    <row r="162" spans="1:25" ht="30.75" thickBot="1" x14ac:dyDescent="0.3">
      <c r="A162" s="2" t="s">
        <v>80</v>
      </c>
      <c r="B162" s="2" t="s">
        <v>13</v>
      </c>
      <c r="C162" s="2" t="s">
        <v>81</v>
      </c>
      <c r="D162" s="2" t="s">
        <v>82</v>
      </c>
      <c r="E162" s="2" t="s">
        <v>83</v>
      </c>
      <c r="F162" s="2" t="s">
        <v>84</v>
      </c>
      <c r="G162" s="2" t="s">
        <v>85</v>
      </c>
      <c r="H162" s="2" t="s">
        <v>86</v>
      </c>
      <c r="I162" s="2" t="s">
        <v>87</v>
      </c>
      <c r="J162" s="2" t="s">
        <v>88</v>
      </c>
      <c r="K162" s="2" t="s">
        <v>89</v>
      </c>
      <c r="M162" s="2" t="s">
        <v>80</v>
      </c>
      <c r="N162" s="2" t="s">
        <v>13</v>
      </c>
      <c r="O162" s="2" t="s">
        <v>81</v>
      </c>
      <c r="P162" s="2" t="s">
        <v>82</v>
      </c>
      <c r="Q162" s="2" t="s">
        <v>83</v>
      </c>
      <c r="R162" s="2" t="s">
        <v>84</v>
      </c>
      <c r="S162" s="2" t="s">
        <v>85</v>
      </c>
      <c r="T162" s="2" t="s">
        <v>86</v>
      </c>
      <c r="U162" s="2" t="s">
        <v>87</v>
      </c>
      <c r="V162" s="2" t="s">
        <v>88</v>
      </c>
      <c r="W162" s="2" t="s">
        <v>89</v>
      </c>
    </row>
    <row r="163" spans="1:25" x14ac:dyDescent="0.25">
      <c r="A163" t="s">
        <v>304</v>
      </c>
      <c r="B163" s="3">
        <v>1745</v>
      </c>
      <c r="C163" s="3">
        <v>1</v>
      </c>
      <c r="D163" t="s">
        <v>91</v>
      </c>
      <c r="E163" t="s">
        <v>126</v>
      </c>
      <c r="F163" t="s">
        <v>127</v>
      </c>
      <c r="G163" s="3">
        <v>1</v>
      </c>
      <c r="H163" s="4">
        <v>24.27230075116897</v>
      </c>
      <c r="I163" s="4">
        <v>18</v>
      </c>
      <c r="J163" s="3">
        <v>0</v>
      </c>
      <c r="K163" t="s">
        <v>68</v>
      </c>
      <c r="M163" t="s">
        <v>304</v>
      </c>
      <c r="N163">
        <v>1745</v>
      </c>
      <c r="O163">
        <v>1</v>
      </c>
      <c r="P163" t="s">
        <v>91</v>
      </c>
      <c r="Q163" t="s">
        <v>126</v>
      </c>
      <c r="R163" t="s">
        <v>305</v>
      </c>
      <c r="S163">
        <v>1</v>
      </c>
      <c r="T163">
        <v>24.240763085204058</v>
      </c>
      <c r="U163">
        <v>18</v>
      </c>
      <c r="V163">
        <v>0</v>
      </c>
      <c r="W163" t="s">
        <v>68</v>
      </c>
      <c r="Y163" t="b">
        <f t="shared" si="3"/>
        <v>1</v>
      </c>
    </row>
    <row r="164" spans="1:25" x14ac:dyDescent="0.25">
      <c r="A164" t="s">
        <v>304</v>
      </c>
      <c r="B164" s="3">
        <v>1745</v>
      </c>
      <c r="C164" s="3">
        <v>2</v>
      </c>
      <c r="D164" t="s">
        <v>91</v>
      </c>
      <c r="E164" t="s">
        <v>306</v>
      </c>
      <c r="F164" t="s">
        <v>307</v>
      </c>
      <c r="G164" s="3">
        <v>2</v>
      </c>
      <c r="H164" s="4">
        <v>13.762145029541189</v>
      </c>
      <c r="I164" s="4">
        <v>10</v>
      </c>
      <c r="J164" s="3">
        <v>0</v>
      </c>
      <c r="K164" t="s">
        <v>68</v>
      </c>
      <c r="M164" t="s">
        <v>304</v>
      </c>
      <c r="N164">
        <v>1745</v>
      </c>
      <c r="O164">
        <v>2</v>
      </c>
      <c r="P164" t="s">
        <v>91</v>
      </c>
      <c r="Q164" t="s">
        <v>306</v>
      </c>
      <c r="R164" t="s">
        <v>307</v>
      </c>
      <c r="S164">
        <v>2</v>
      </c>
      <c r="T164">
        <v>13.74413179951334</v>
      </c>
      <c r="U164">
        <v>10</v>
      </c>
      <c r="V164">
        <v>0</v>
      </c>
      <c r="W164" t="s">
        <v>68</v>
      </c>
      <c r="Y164" t="b">
        <f t="shared" si="3"/>
        <v>1</v>
      </c>
    </row>
    <row r="165" spans="1:25" x14ac:dyDescent="0.25">
      <c r="A165" t="s">
        <v>304</v>
      </c>
      <c r="B165" s="3">
        <v>1745</v>
      </c>
      <c r="C165" s="3">
        <v>3</v>
      </c>
      <c r="D165" t="s">
        <v>91</v>
      </c>
      <c r="E165" t="s">
        <v>228</v>
      </c>
      <c r="F165" t="s">
        <v>229</v>
      </c>
      <c r="G165" s="3">
        <v>3</v>
      </c>
      <c r="H165" s="4">
        <v>9.6074430140295934</v>
      </c>
      <c r="I165" s="4">
        <v>7</v>
      </c>
      <c r="J165" s="3">
        <v>0</v>
      </c>
      <c r="K165" t="s">
        <v>68</v>
      </c>
      <c r="M165" t="s">
        <v>304</v>
      </c>
      <c r="N165">
        <v>1745</v>
      </c>
      <c r="O165">
        <v>3</v>
      </c>
      <c r="P165" t="s">
        <v>91</v>
      </c>
      <c r="Q165" t="s">
        <v>228</v>
      </c>
      <c r="R165" t="s">
        <v>229</v>
      </c>
      <c r="S165">
        <v>3</v>
      </c>
      <c r="T165">
        <v>9.5949424056505492</v>
      </c>
      <c r="U165">
        <v>7</v>
      </c>
      <c r="V165">
        <v>0</v>
      </c>
      <c r="W165" t="s">
        <v>68</v>
      </c>
      <c r="Y165" t="b">
        <f t="shared" si="3"/>
        <v>1</v>
      </c>
    </row>
    <row r="166" spans="1:25" x14ac:dyDescent="0.25">
      <c r="A166" t="s">
        <v>304</v>
      </c>
      <c r="B166" s="3">
        <v>1745</v>
      </c>
      <c r="C166" s="3">
        <v>4</v>
      </c>
      <c r="D166" t="s">
        <v>91</v>
      </c>
      <c r="E166" t="s">
        <v>200</v>
      </c>
      <c r="F166" t="s">
        <v>308</v>
      </c>
      <c r="G166" s="3">
        <v>4</v>
      </c>
      <c r="H166" s="4">
        <v>8.8453772827709898</v>
      </c>
      <c r="I166" s="4">
        <v>10</v>
      </c>
      <c r="J166" s="3">
        <v>0</v>
      </c>
      <c r="K166" t="s">
        <v>68</v>
      </c>
      <c r="M166" t="s">
        <v>304</v>
      </c>
      <c r="N166">
        <v>1745</v>
      </c>
      <c r="O166">
        <v>4</v>
      </c>
      <c r="P166" t="s">
        <v>91</v>
      </c>
      <c r="Q166" t="s">
        <v>200</v>
      </c>
      <c r="R166" t="s">
        <v>309</v>
      </c>
      <c r="S166">
        <v>4</v>
      </c>
      <c r="T166">
        <v>8.8337202403630286</v>
      </c>
      <c r="U166">
        <v>10</v>
      </c>
      <c r="V166">
        <v>0</v>
      </c>
      <c r="W166" t="s">
        <v>68</v>
      </c>
      <c r="Y166" t="b">
        <f t="shared" si="3"/>
        <v>1</v>
      </c>
    </row>
    <row r="167" spans="1:25" x14ac:dyDescent="0.25">
      <c r="A167" t="s">
        <v>304</v>
      </c>
      <c r="B167" s="3">
        <v>1745</v>
      </c>
      <c r="C167" s="3">
        <v>5</v>
      </c>
      <c r="D167" t="s">
        <v>91</v>
      </c>
      <c r="E167" t="s">
        <v>168</v>
      </c>
      <c r="F167" t="s">
        <v>169</v>
      </c>
      <c r="G167" s="3">
        <v>5</v>
      </c>
      <c r="H167" s="4">
        <v>5.7205328963689226</v>
      </c>
      <c r="I167" s="4">
        <v>6</v>
      </c>
      <c r="J167" s="3">
        <v>0</v>
      </c>
      <c r="K167" t="s">
        <v>68</v>
      </c>
      <c r="M167" t="s">
        <v>304</v>
      </c>
      <c r="N167">
        <v>1745</v>
      </c>
      <c r="O167">
        <v>5</v>
      </c>
      <c r="P167" t="s">
        <v>91</v>
      </c>
      <c r="Q167" t="s">
        <v>168</v>
      </c>
      <c r="R167" t="s">
        <v>169</v>
      </c>
      <c r="S167">
        <v>5</v>
      </c>
      <c r="T167">
        <v>5.7131510856482617</v>
      </c>
      <c r="U167">
        <v>6</v>
      </c>
      <c r="V167">
        <v>0</v>
      </c>
      <c r="W167" t="s">
        <v>68</v>
      </c>
      <c r="Y167" t="b">
        <f t="shared" si="3"/>
        <v>1</v>
      </c>
    </row>
    <row r="168" spans="1:25" x14ac:dyDescent="0.25">
      <c r="A168" t="s">
        <v>304</v>
      </c>
      <c r="B168" s="3">
        <v>1745</v>
      </c>
      <c r="C168" s="3">
        <v>6</v>
      </c>
      <c r="D168" t="s">
        <v>91</v>
      </c>
      <c r="E168" t="s">
        <v>131</v>
      </c>
      <c r="F168" t="s">
        <v>310</v>
      </c>
      <c r="G168" s="3">
        <v>6</v>
      </c>
      <c r="H168" s="4">
        <v>4.2823860772939373</v>
      </c>
      <c r="I168" s="4">
        <v>8</v>
      </c>
      <c r="J168" s="3">
        <v>0</v>
      </c>
      <c r="K168" t="s">
        <v>68</v>
      </c>
      <c r="M168" t="s">
        <v>304</v>
      </c>
      <c r="N168">
        <v>1745</v>
      </c>
      <c r="O168">
        <v>6</v>
      </c>
      <c r="P168" t="s">
        <v>91</v>
      </c>
      <c r="Q168" t="s">
        <v>131</v>
      </c>
      <c r="R168" t="s">
        <v>311</v>
      </c>
      <c r="S168">
        <v>6</v>
      </c>
      <c r="T168">
        <v>4.277207045939786</v>
      </c>
      <c r="U168">
        <v>8</v>
      </c>
      <c r="V168">
        <v>0</v>
      </c>
      <c r="W168" t="s">
        <v>68</v>
      </c>
      <c r="Y168" t="b">
        <f t="shared" si="3"/>
        <v>1</v>
      </c>
    </row>
    <row r="169" spans="1:25" x14ac:dyDescent="0.25">
      <c r="A169" t="s">
        <v>304</v>
      </c>
      <c r="B169" s="3">
        <v>1745</v>
      </c>
      <c r="C169" s="3">
        <v>7</v>
      </c>
      <c r="D169" t="s">
        <v>91</v>
      </c>
      <c r="E169" t="s">
        <v>128</v>
      </c>
      <c r="F169" t="s">
        <v>129</v>
      </c>
      <c r="G169" s="3">
        <v>7</v>
      </c>
      <c r="H169" s="4">
        <v>4.1906947735758662</v>
      </c>
      <c r="I169" s="4">
        <v>4</v>
      </c>
      <c r="J169" s="3">
        <v>0</v>
      </c>
      <c r="K169" t="s">
        <v>68</v>
      </c>
      <c r="M169" t="s">
        <v>304</v>
      </c>
      <c r="N169">
        <v>1745</v>
      </c>
      <c r="O169">
        <v>7</v>
      </c>
      <c r="P169" t="s">
        <v>91</v>
      </c>
      <c r="Q169" t="s">
        <v>128</v>
      </c>
      <c r="R169" t="s">
        <v>129</v>
      </c>
      <c r="S169">
        <v>7</v>
      </c>
      <c r="T169">
        <v>4.1854269551938401</v>
      </c>
      <c r="U169">
        <v>4</v>
      </c>
      <c r="V169">
        <v>0</v>
      </c>
      <c r="W169" t="s">
        <v>68</v>
      </c>
      <c r="Y169" t="b">
        <f t="shared" si="3"/>
        <v>1</v>
      </c>
    </row>
    <row r="170" spans="1:25" x14ac:dyDescent="0.25">
      <c r="A170" t="s">
        <v>304</v>
      </c>
      <c r="B170" s="3">
        <v>1745</v>
      </c>
      <c r="C170" s="3">
        <v>8</v>
      </c>
      <c r="D170" t="s">
        <v>91</v>
      </c>
      <c r="E170" t="s">
        <v>312</v>
      </c>
      <c r="F170" t="s">
        <v>313</v>
      </c>
      <c r="G170" s="3">
        <v>8</v>
      </c>
      <c r="H170" s="4">
        <v>3.3733020525463568</v>
      </c>
      <c r="I170" s="4">
        <v>5</v>
      </c>
      <c r="J170" s="3">
        <v>0</v>
      </c>
      <c r="K170" t="s">
        <v>68</v>
      </c>
      <c r="M170" t="s">
        <v>304</v>
      </c>
      <c r="N170">
        <v>1745</v>
      </c>
      <c r="O170">
        <v>8</v>
      </c>
      <c r="P170" t="s">
        <v>91</v>
      </c>
      <c r="Q170" t="s">
        <v>312</v>
      </c>
      <c r="R170" t="s">
        <v>314</v>
      </c>
      <c r="S170">
        <v>8</v>
      </c>
      <c r="T170">
        <v>3.3686649102685271</v>
      </c>
      <c r="U170">
        <v>5</v>
      </c>
      <c r="V170">
        <v>0</v>
      </c>
      <c r="W170" t="s">
        <v>68</v>
      </c>
      <c r="Y170" t="b">
        <f t="shared" si="3"/>
        <v>1</v>
      </c>
    </row>
    <row r="171" spans="1:25" x14ac:dyDescent="0.25">
      <c r="A171" t="s">
        <v>304</v>
      </c>
      <c r="B171" s="3">
        <v>1745</v>
      </c>
      <c r="C171" s="3">
        <v>9</v>
      </c>
      <c r="D171" t="s">
        <v>91</v>
      </c>
      <c r="E171" t="s">
        <v>205</v>
      </c>
      <c r="F171" t="s">
        <v>207</v>
      </c>
      <c r="G171" s="3">
        <v>9</v>
      </c>
      <c r="H171" s="4">
        <v>3.3110526516755381</v>
      </c>
      <c r="I171" s="4">
        <v>3</v>
      </c>
      <c r="J171" s="3">
        <v>0</v>
      </c>
      <c r="K171" t="s">
        <v>68</v>
      </c>
      <c r="M171" t="s">
        <v>304</v>
      </c>
      <c r="N171">
        <v>1745</v>
      </c>
      <c r="O171">
        <v>9</v>
      </c>
      <c r="P171" t="s">
        <v>91</v>
      </c>
      <c r="Q171" t="s">
        <v>205</v>
      </c>
      <c r="R171" t="s">
        <v>315</v>
      </c>
      <c r="S171">
        <v>9</v>
      </c>
      <c r="T171">
        <v>3.306731442322826</v>
      </c>
      <c r="U171">
        <v>3</v>
      </c>
      <c r="V171">
        <v>0</v>
      </c>
      <c r="W171" t="s">
        <v>68</v>
      </c>
      <c r="Y171" t="b">
        <f t="shared" si="3"/>
        <v>1</v>
      </c>
    </row>
    <row r="172" spans="1:25" x14ac:dyDescent="0.25">
      <c r="A172" t="s">
        <v>304</v>
      </c>
      <c r="B172" s="3">
        <v>1745</v>
      </c>
      <c r="C172" s="3">
        <v>10</v>
      </c>
      <c r="D172" t="s">
        <v>91</v>
      </c>
      <c r="E172" t="s">
        <v>316</v>
      </c>
      <c r="F172" t="s">
        <v>317</v>
      </c>
      <c r="G172" s="3">
        <v>10</v>
      </c>
      <c r="H172" s="4">
        <v>3</v>
      </c>
      <c r="I172" s="4">
        <v>3</v>
      </c>
      <c r="J172" s="3">
        <v>0</v>
      </c>
      <c r="K172" t="s">
        <v>68</v>
      </c>
      <c r="M172" t="s">
        <v>304</v>
      </c>
      <c r="N172">
        <v>1745</v>
      </c>
      <c r="O172">
        <v>10</v>
      </c>
      <c r="P172" t="s">
        <v>91</v>
      </c>
      <c r="Q172" t="s">
        <v>316</v>
      </c>
      <c r="R172" t="s">
        <v>317</v>
      </c>
      <c r="S172">
        <v>10</v>
      </c>
      <c r="T172">
        <v>3</v>
      </c>
      <c r="U172">
        <v>3</v>
      </c>
      <c r="V172">
        <v>0</v>
      </c>
      <c r="W172" t="s">
        <v>68</v>
      </c>
      <c r="Y172" t="b">
        <f t="shared" si="3"/>
        <v>1</v>
      </c>
    </row>
    <row r="173" spans="1:25" x14ac:dyDescent="0.25">
      <c r="A173" t="s">
        <v>304</v>
      </c>
      <c r="B173" s="3">
        <v>1745</v>
      </c>
      <c r="C173" s="3">
        <v>11</v>
      </c>
      <c r="D173" t="s">
        <v>91</v>
      </c>
      <c r="E173" t="s">
        <v>92</v>
      </c>
      <c r="F173" t="s">
        <v>93</v>
      </c>
      <c r="G173" s="3">
        <v>11</v>
      </c>
      <c r="H173" s="4">
        <v>2.7618941434246742</v>
      </c>
      <c r="I173" s="4">
        <v>2</v>
      </c>
      <c r="J173" s="3">
        <v>0</v>
      </c>
      <c r="K173" t="s">
        <v>68</v>
      </c>
      <c r="M173" t="s">
        <v>304</v>
      </c>
      <c r="N173">
        <v>1745</v>
      </c>
      <c r="O173">
        <v>11</v>
      </c>
      <c r="P173" t="s">
        <v>91</v>
      </c>
      <c r="Q173" t="s">
        <v>92</v>
      </c>
      <c r="R173" t="s">
        <v>93</v>
      </c>
      <c r="S173">
        <v>11</v>
      </c>
      <c r="T173">
        <v>2.758172229962677</v>
      </c>
      <c r="U173">
        <v>2</v>
      </c>
      <c r="V173">
        <v>0</v>
      </c>
      <c r="W173" t="s">
        <v>68</v>
      </c>
      <c r="Y173" t="b">
        <f t="shared" si="3"/>
        <v>1</v>
      </c>
    </row>
    <row r="174" spans="1:25" x14ac:dyDescent="0.25">
      <c r="A174" t="s">
        <v>304</v>
      </c>
      <c r="B174" s="3">
        <v>1745</v>
      </c>
      <c r="C174" s="3">
        <v>12</v>
      </c>
      <c r="D174" t="s">
        <v>91</v>
      </c>
      <c r="E174" t="s">
        <v>318</v>
      </c>
      <c r="F174" t="s">
        <v>319</v>
      </c>
      <c r="G174" s="3">
        <v>12</v>
      </c>
      <c r="H174" s="4">
        <v>2.6527498889587289</v>
      </c>
      <c r="I174" s="4">
        <v>2</v>
      </c>
      <c r="J174" s="3">
        <v>0</v>
      </c>
      <c r="K174" t="s">
        <v>68</v>
      </c>
      <c r="M174" t="s">
        <v>304</v>
      </c>
      <c r="N174">
        <v>1745</v>
      </c>
      <c r="O174">
        <v>12</v>
      </c>
      <c r="P174" t="s">
        <v>91</v>
      </c>
      <c r="Q174" t="s">
        <v>318</v>
      </c>
      <c r="R174" t="s">
        <v>320</v>
      </c>
      <c r="S174">
        <v>12</v>
      </c>
      <c r="T174">
        <v>2.6491292823043988</v>
      </c>
      <c r="U174">
        <v>2</v>
      </c>
      <c r="V174">
        <v>0</v>
      </c>
      <c r="W174" t="s">
        <v>68</v>
      </c>
      <c r="Y174" t="b">
        <f t="shared" si="3"/>
        <v>1</v>
      </c>
    </row>
    <row r="177" spans="1:25" ht="15.75" x14ac:dyDescent="0.3">
      <c r="A177" s="12" t="s">
        <v>321</v>
      </c>
      <c r="M177" s="12" t="s">
        <v>321</v>
      </c>
    </row>
    <row r="178" spans="1:25" ht="30.75" thickBot="1" x14ac:dyDescent="0.3">
      <c r="A178" s="2" t="s">
        <v>80</v>
      </c>
      <c r="B178" s="2" t="s">
        <v>13</v>
      </c>
      <c r="C178" s="2" t="s">
        <v>81</v>
      </c>
      <c r="D178" s="2" t="s">
        <v>82</v>
      </c>
      <c r="E178" s="2" t="s">
        <v>83</v>
      </c>
      <c r="F178" s="2" t="s">
        <v>84</v>
      </c>
      <c r="G178" s="2" t="s">
        <v>85</v>
      </c>
      <c r="H178" s="2" t="s">
        <v>86</v>
      </c>
      <c r="I178" s="2" t="s">
        <v>87</v>
      </c>
      <c r="J178" s="2" t="s">
        <v>88</v>
      </c>
      <c r="K178" s="2" t="s">
        <v>89</v>
      </c>
      <c r="M178" s="2" t="s">
        <v>80</v>
      </c>
      <c r="N178" s="2" t="s">
        <v>13</v>
      </c>
      <c r="O178" s="2" t="s">
        <v>81</v>
      </c>
      <c r="P178" s="2" t="s">
        <v>82</v>
      </c>
      <c r="Q178" s="2" t="s">
        <v>83</v>
      </c>
      <c r="R178" s="2" t="s">
        <v>84</v>
      </c>
      <c r="S178" s="2" t="s">
        <v>85</v>
      </c>
      <c r="T178" s="2" t="s">
        <v>86</v>
      </c>
      <c r="U178" s="2" t="s">
        <v>87</v>
      </c>
      <c r="V178" s="2" t="s">
        <v>88</v>
      </c>
      <c r="W178" s="2" t="s">
        <v>89</v>
      </c>
    </row>
    <row r="179" spans="1:25" x14ac:dyDescent="0.25">
      <c r="A179" t="s">
        <v>322</v>
      </c>
      <c r="B179" s="3">
        <v>1744</v>
      </c>
      <c r="C179" s="3">
        <v>1</v>
      </c>
      <c r="J179" s="3">
        <v>0</v>
      </c>
      <c r="K179" t="s">
        <v>68</v>
      </c>
      <c r="M179" t="s">
        <v>322</v>
      </c>
      <c r="N179">
        <v>1744</v>
      </c>
      <c r="O179">
        <v>1</v>
      </c>
      <c r="V179">
        <v>0</v>
      </c>
      <c r="W179" t="s">
        <v>68</v>
      </c>
      <c r="Y179" t="b">
        <f t="shared" si="3"/>
        <v>1</v>
      </c>
    </row>
    <row r="180" spans="1:25" x14ac:dyDescent="0.25">
      <c r="A180" t="s">
        <v>322</v>
      </c>
      <c r="B180" s="3">
        <v>1744</v>
      </c>
      <c r="C180" s="3">
        <v>2</v>
      </c>
      <c r="J180" s="3">
        <v>0</v>
      </c>
      <c r="K180" t="s">
        <v>68</v>
      </c>
      <c r="M180" t="s">
        <v>322</v>
      </c>
      <c r="N180">
        <v>1744</v>
      </c>
      <c r="O180">
        <v>2</v>
      </c>
      <c r="V180">
        <v>0</v>
      </c>
      <c r="W180" t="s">
        <v>68</v>
      </c>
      <c r="Y180" t="b">
        <f t="shared" si="3"/>
        <v>1</v>
      </c>
    </row>
    <row r="181" spans="1:25" x14ac:dyDescent="0.25">
      <c r="A181" t="s">
        <v>322</v>
      </c>
      <c r="B181" s="3">
        <v>1744</v>
      </c>
      <c r="C181" s="3">
        <v>3</v>
      </c>
      <c r="D181" t="s">
        <v>91</v>
      </c>
      <c r="E181" t="s">
        <v>122</v>
      </c>
      <c r="F181" t="s">
        <v>323</v>
      </c>
      <c r="G181" s="3">
        <v>1</v>
      </c>
      <c r="H181" s="4">
        <v>11.843992900820149</v>
      </c>
      <c r="I181" s="4">
        <v>12</v>
      </c>
      <c r="J181" s="3">
        <v>0</v>
      </c>
      <c r="K181" t="s">
        <v>68</v>
      </c>
      <c r="M181" t="s">
        <v>322</v>
      </c>
      <c r="N181">
        <v>1744</v>
      </c>
      <c r="O181">
        <v>3</v>
      </c>
      <c r="P181" t="s">
        <v>91</v>
      </c>
      <c r="Q181" t="s">
        <v>122</v>
      </c>
      <c r="R181" t="s">
        <v>324</v>
      </c>
      <c r="S181">
        <v>1</v>
      </c>
      <c r="T181">
        <v>11.82860656389923</v>
      </c>
      <c r="U181">
        <v>12</v>
      </c>
      <c r="V181">
        <v>0</v>
      </c>
      <c r="W181" t="s">
        <v>68</v>
      </c>
      <c r="Y181" t="b">
        <f t="shared" si="3"/>
        <v>1</v>
      </c>
    </row>
    <row r="182" spans="1:25" x14ac:dyDescent="0.25">
      <c r="A182" t="s">
        <v>322</v>
      </c>
      <c r="B182" s="3">
        <v>1744</v>
      </c>
      <c r="C182" s="3">
        <v>4</v>
      </c>
      <c r="D182" t="s">
        <v>91</v>
      </c>
      <c r="E182" t="s">
        <v>312</v>
      </c>
      <c r="F182" t="s">
        <v>325</v>
      </c>
      <c r="G182" s="3">
        <v>2</v>
      </c>
      <c r="H182" s="4">
        <v>1.443355352167103</v>
      </c>
      <c r="I182" s="4">
        <v>2</v>
      </c>
      <c r="J182" s="3">
        <v>0</v>
      </c>
      <c r="K182" t="s">
        <v>68</v>
      </c>
      <c r="M182" t="s">
        <v>322</v>
      </c>
      <c r="N182">
        <v>1744</v>
      </c>
      <c r="O182">
        <v>4</v>
      </c>
      <c r="P182" t="s">
        <v>91</v>
      </c>
      <c r="Q182" t="s">
        <v>312</v>
      </c>
      <c r="R182" t="s">
        <v>314</v>
      </c>
      <c r="S182">
        <v>2</v>
      </c>
      <c r="T182">
        <v>1.4415674132170071</v>
      </c>
      <c r="U182">
        <v>2</v>
      </c>
      <c r="V182">
        <v>0</v>
      </c>
      <c r="W182" t="s">
        <v>68</v>
      </c>
      <c r="Y182" t="b">
        <f t="shared" si="3"/>
        <v>1</v>
      </c>
    </row>
    <row r="183" spans="1:25" x14ac:dyDescent="0.25">
      <c r="A183" t="s">
        <v>322</v>
      </c>
      <c r="B183" s="3">
        <v>1744</v>
      </c>
      <c r="C183" s="3">
        <v>5</v>
      </c>
      <c r="D183" t="s">
        <v>91</v>
      </c>
      <c r="E183" t="s">
        <v>230</v>
      </c>
      <c r="F183" t="s">
        <v>326</v>
      </c>
      <c r="G183" s="3">
        <v>3</v>
      </c>
      <c r="H183" s="4">
        <v>1.371157319162895</v>
      </c>
      <c r="I183" s="4">
        <v>1</v>
      </c>
      <c r="J183" s="3">
        <v>0</v>
      </c>
      <c r="K183" t="s">
        <v>68</v>
      </c>
      <c r="M183" t="s">
        <v>322</v>
      </c>
      <c r="N183">
        <v>1744</v>
      </c>
      <c r="O183">
        <v>5</v>
      </c>
      <c r="P183" t="s">
        <v>91</v>
      </c>
      <c r="Q183" t="s">
        <v>230</v>
      </c>
      <c r="R183" t="s">
        <v>326</v>
      </c>
      <c r="S183">
        <v>3</v>
      </c>
      <c r="T183">
        <v>1.3693545998736141</v>
      </c>
      <c r="U183">
        <v>1</v>
      </c>
      <c r="V183">
        <v>0</v>
      </c>
      <c r="W183" t="s">
        <v>68</v>
      </c>
      <c r="Y183" t="b">
        <f t="shared" si="3"/>
        <v>1</v>
      </c>
    </row>
    <row r="184" spans="1:25" x14ac:dyDescent="0.25">
      <c r="A184" t="s">
        <v>322</v>
      </c>
      <c r="B184" s="3">
        <v>1744</v>
      </c>
      <c r="C184" s="3">
        <v>6</v>
      </c>
      <c r="D184" t="s">
        <v>91</v>
      </c>
      <c r="E184" t="s">
        <v>205</v>
      </c>
      <c r="F184" t="s">
        <v>206</v>
      </c>
      <c r="G184" s="3">
        <v>4</v>
      </c>
      <c r="H184" s="4">
        <v>1.0754946832793399</v>
      </c>
      <c r="I184" s="4">
        <v>1</v>
      </c>
      <c r="J184" s="3">
        <v>0</v>
      </c>
      <c r="K184" t="s">
        <v>68</v>
      </c>
      <c r="M184" t="s">
        <v>322</v>
      </c>
      <c r="N184">
        <v>1744</v>
      </c>
      <c r="O184">
        <v>6</v>
      </c>
      <c r="P184" t="s">
        <v>91</v>
      </c>
      <c r="Q184" t="s">
        <v>205</v>
      </c>
      <c r="R184" t="s">
        <v>315</v>
      </c>
      <c r="S184">
        <v>4</v>
      </c>
      <c r="T184">
        <v>1.0740782712121859</v>
      </c>
      <c r="U184">
        <v>1</v>
      </c>
      <c r="V184">
        <v>0</v>
      </c>
      <c r="W184" t="s">
        <v>68</v>
      </c>
      <c r="Y184" t="b">
        <f t="shared" si="3"/>
        <v>1</v>
      </c>
    </row>
    <row r="185" spans="1:25" x14ac:dyDescent="0.25">
      <c r="A185" t="s">
        <v>322</v>
      </c>
      <c r="B185" s="3">
        <v>1744</v>
      </c>
      <c r="C185" s="3">
        <v>7</v>
      </c>
      <c r="D185" t="s">
        <v>91</v>
      </c>
      <c r="E185" t="s">
        <v>268</v>
      </c>
      <c r="F185" t="s">
        <v>327</v>
      </c>
      <c r="G185" s="3">
        <v>5</v>
      </c>
      <c r="H185" s="4">
        <v>1</v>
      </c>
      <c r="I185" s="4">
        <v>1</v>
      </c>
      <c r="J185" s="3">
        <v>0</v>
      </c>
      <c r="K185" t="s">
        <v>68</v>
      </c>
      <c r="M185" t="s">
        <v>322</v>
      </c>
      <c r="N185">
        <v>1744</v>
      </c>
      <c r="O185">
        <v>7</v>
      </c>
      <c r="P185" t="s">
        <v>91</v>
      </c>
      <c r="Q185" t="s">
        <v>268</v>
      </c>
      <c r="R185" t="s">
        <v>269</v>
      </c>
      <c r="S185">
        <v>5</v>
      </c>
      <c r="T185">
        <v>1</v>
      </c>
      <c r="U185">
        <v>1</v>
      </c>
      <c r="V185">
        <v>0</v>
      </c>
      <c r="W185" t="s">
        <v>68</v>
      </c>
      <c r="Y185" t="b">
        <f t="shared" si="3"/>
        <v>1</v>
      </c>
    </row>
    <row r="186" spans="1:25" x14ac:dyDescent="0.25">
      <c r="A186" t="s">
        <v>322</v>
      </c>
      <c r="B186" s="3">
        <v>1744</v>
      </c>
      <c r="C186" s="3">
        <v>8</v>
      </c>
      <c r="D186" t="s">
        <v>91</v>
      </c>
      <c r="E186" t="s">
        <v>163</v>
      </c>
      <c r="F186" t="s">
        <v>183</v>
      </c>
      <c r="G186" s="3">
        <v>6</v>
      </c>
      <c r="H186" s="4">
        <v>0.79639321322952772</v>
      </c>
      <c r="I186" s="4">
        <v>1</v>
      </c>
      <c r="J186" s="3">
        <v>0</v>
      </c>
      <c r="K186" t="s">
        <v>68</v>
      </c>
      <c r="M186" t="s">
        <v>322</v>
      </c>
      <c r="N186">
        <v>1744</v>
      </c>
      <c r="O186">
        <v>8</v>
      </c>
      <c r="P186" t="s">
        <v>91</v>
      </c>
      <c r="Q186" t="s">
        <v>163</v>
      </c>
      <c r="R186" t="s">
        <v>328</v>
      </c>
      <c r="S186">
        <v>6</v>
      </c>
      <c r="T186">
        <v>0.79536314408995334</v>
      </c>
      <c r="U186">
        <v>1</v>
      </c>
      <c r="V186">
        <v>0</v>
      </c>
      <c r="W186" t="s">
        <v>68</v>
      </c>
      <c r="Y186" t="b">
        <f t="shared" si="3"/>
        <v>1</v>
      </c>
    </row>
    <row r="187" spans="1:25" x14ac:dyDescent="0.25">
      <c r="A187" t="s">
        <v>322</v>
      </c>
      <c r="B187" s="3">
        <v>1744</v>
      </c>
      <c r="C187" s="3">
        <v>9</v>
      </c>
      <c r="D187" t="s">
        <v>91</v>
      </c>
      <c r="E187" t="s">
        <v>99</v>
      </c>
      <c r="F187" t="s">
        <v>227</v>
      </c>
      <c r="G187" s="3">
        <v>7</v>
      </c>
      <c r="H187" s="4">
        <v>0.20594062263385729</v>
      </c>
      <c r="I187" s="4">
        <v>1</v>
      </c>
      <c r="J187" s="3">
        <v>0</v>
      </c>
      <c r="K187" t="s">
        <v>68</v>
      </c>
      <c r="M187" t="s">
        <v>322</v>
      </c>
      <c r="N187">
        <v>1744</v>
      </c>
      <c r="O187">
        <v>9</v>
      </c>
      <c r="P187" t="s">
        <v>91</v>
      </c>
      <c r="Q187" t="s">
        <v>99</v>
      </c>
      <c r="R187" t="s">
        <v>329</v>
      </c>
      <c r="S187">
        <v>7</v>
      </c>
      <c r="T187">
        <v>0.20492440968654629</v>
      </c>
      <c r="U187">
        <v>1</v>
      </c>
      <c r="V187">
        <v>0</v>
      </c>
      <c r="W187" t="s">
        <v>68</v>
      </c>
      <c r="Y187" t="b">
        <f t="shared" si="3"/>
        <v>1</v>
      </c>
    </row>
    <row r="188" spans="1:25" x14ac:dyDescent="0.25">
      <c r="A188" t="s">
        <v>322</v>
      </c>
      <c r="B188" s="3">
        <v>1744</v>
      </c>
      <c r="C188" s="3">
        <v>10</v>
      </c>
      <c r="D188" t="s">
        <v>91</v>
      </c>
      <c r="E188" t="s">
        <v>143</v>
      </c>
      <c r="F188" t="s">
        <v>145</v>
      </c>
      <c r="J188" s="3">
        <v>1</v>
      </c>
      <c r="K188" t="s">
        <v>68</v>
      </c>
      <c r="M188" t="s">
        <v>322</v>
      </c>
      <c r="N188">
        <v>1744</v>
      </c>
      <c r="O188">
        <v>10</v>
      </c>
      <c r="P188" t="s">
        <v>91</v>
      </c>
      <c r="Q188" t="s">
        <v>143</v>
      </c>
      <c r="R188" t="s">
        <v>145</v>
      </c>
      <c r="V188">
        <v>1</v>
      </c>
      <c r="W188" t="s">
        <v>68</v>
      </c>
      <c r="Y188" t="b">
        <f t="shared" si="3"/>
        <v>1</v>
      </c>
    </row>
    <row r="189" spans="1:25" x14ac:dyDescent="0.25">
      <c r="A189" t="s">
        <v>322</v>
      </c>
      <c r="B189" s="3">
        <v>1744</v>
      </c>
      <c r="C189" s="3">
        <v>11</v>
      </c>
      <c r="D189" t="s">
        <v>91</v>
      </c>
      <c r="E189" t="s">
        <v>168</v>
      </c>
      <c r="F189" t="s">
        <v>169</v>
      </c>
      <c r="J189" s="3">
        <v>1</v>
      </c>
      <c r="K189" t="s">
        <v>68</v>
      </c>
      <c r="M189" t="s">
        <v>322</v>
      </c>
      <c r="N189">
        <v>1744</v>
      </c>
      <c r="O189">
        <v>11</v>
      </c>
      <c r="P189" t="s">
        <v>91</v>
      </c>
      <c r="Q189" t="s">
        <v>155</v>
      </c>
      <c r="R189" t="s">
        <v>157</v>
      </c>
      <c r="V189">
        <v>1</v>
      </c>
      <c r="W189" t="s">
        <v>68</v>
      </c>
      <c r="Y189" t="b">
        <f t="shared" si="3"/>
        <v>0</v>
      </c>
    </row>
    <row r="190" spans="1:25" x14ac:dyDescent="0.25">
      <c r="A190" t="s">
        <v>322</v>
      </c>
      <c r="B190" s="3">
        <v>1744</v>
      </c>
      <c r="C190" s="3">
        <v>12</v>
      </c>
      <c r="D190" t="s">
        <v>91</v>
      </c>
      <c r="E190" t="s">
        <v>116</v>
      </c>
      <c r="F190" t="s">
        <v>117</v>
      </c>
      <c r="J190" s="3">
        <v>1</v>
      </c>
      <c r="K190" t="s">
        <v>68</v>
      </c>
      <c r="M190" t="s">
        <v>322</v>
      </c>
      <c r="N190">
        <v>1744</v>
      </c>
      <c r="O190">
        <v>12</v>
      </c>
      <c r="P190" t="s">
        <v>91</v>
      </c>
      <c r="Q190" t="s">
        <v>330</v>
      </c>
      <c r="R190" t="s">
        <v>331</v>
      </c>
      <c r="V190">
        <v>1</v>
      </c>
      <c r="W190" t="s">
        <v>68</v>
      </c>
      <c r="Y190" t="b">
        <f t="shared" si="3"/>
        <v>0</v>
      </c>
    </row>
    <row r="193" spans="1:25" ht="15.75" x14ac:dyDescent="0.3">
      <c r="A193" s="12" t="s">
        <v>332</v>
      </c>
      <c r="M193" s="12" t="s">
        <v>332</v>
      </c>
    </row>
    <row r="194" spans="1:25" ht="30.75" thickBot="1" x14ac:dyDescent="0.3">
      <c r="A194" s="2" t="s">
        <v>80</v>
      </c>
      <c r="B194" s="2" t="s">
        <v>13</v>
      </c>
      <c r="C194" s="2" t="s">
        <v>81</v>
      </c>
      <c r="D194" s="2" t="s">
        <v>82</v>
      </c>
      <c r="E194" s="2" t="s">
        <v>83</v>
      </c>
      <c r="F194" s="2" t="s">
        <v>84</v>
      </c>
      <c r="G194" s="2" t="s">
        <v>85</v>
      </c>
      <c r="H194" s="2" t="s">
        <v>86</v>
      </c>
      <c r="I194" s="2" t="s">
        <v>87</v>
      </c>
      <c r="J194" s="2" t="s">
        <v>88</v>
      </c>
      <c r="K194" s="2" t="s">
        <v>89</v>
      </c>
      <c r="M194" s="2" t="s">
        <v>80</v>
      </c>
      <c r="N194" s="2" t="s">
        <v>13</v>
      </c>
      <c r="O194" s="2" t="s">
        <v>81</v>
      </c>
      <c r="P194" s="2" t="s">
        <v>82</v>
      </c>
      <c r="Q194" s="2" t="s">
        <v>83</v>
      </c>
      <c r="R194" s="2" t="s">
        <v>84</v>
      </c>
      <c r="S194" s="2" t="s">
        <v>85</v>
      </c>
      <c r="T194" s="2" t="s">
        <v>86</v>
      </c>
      <c r="U194" s="2" t="s">
        <v>87</v>
      </c>
      <c r="V194" s="2" t="s">
        <v>88</v>
      </c>
      <c r="W194" s="2" t="s">
        <v>89</v>
      </c>
    </row>
    <row r="195" spans="1:25" x14ac:dyDescent="0.25">
      <c r="A195" t="s">
        <v>333</v>
      </c>
      <c r="B195" s="3">
        <v>1741</v>
      </c>
      <c r="C195" s="3">
        <v>1</v>
      </c>
      <c r="J195" s="3">
        <v>0</v>
      </c>
      <c r="K195" t="s">
        <v>68</v>
      </c>
      <c r="M195" t="s">
        <v>333</v>
      </c>
      <c r="N195">
        <v>1740</v>
      </c>
      <c r="O195">
        <v>1</v>
      </c>
      <c r="V195">
        <v>0</v>
      </c>
      <c r="W195" t="s">
        <v>68</v>
      </c>
      <c r="Y195" t="b">
        <f t="shared" si="3"/>
        <v>1</v>
      </c>
    </row>
    <row r="196" spans="1:25" x14ac:dyDescent="0.25">
      <c r="A196" t="s">
        <v>333</v>
      </c>
      <c r="B196" s="3">
        <v>1741</v>
      </c>
      <c r="C196" s="3">
        <v>2</v>
      </c>
      <c r="J196" s="3">
        <v>0</v>
      </c>
      <c r="K196" t="s">
        <v>68</v>
      </c>
      <c r="M196" t="s">
        <v>333</v>
      </c>
      <c r="N196">
        <v>1740</v>
      </c>
      <c r="O196">
        <v>2</v>
      </c>
      <c r="V196">
        <v>0</v>
      </c>
      <c r="W196" t="s">
        <v>68</v>
      </c>
      <c r="Y196" t="b">
        <f t="shared" ref="Y196:Y259" si="4">E196=Q196</f>
        <v>1</v>
      </c>
    </row>
    <row r="197" spans="1:25" x14ac:dyDescent="0.25">
      <c r="A197" t="s">
        <v>333</v>
      </c>
      <c r="B197" s="3">
        <v>1741</v>
      </c>
      <c r="C197" s="3">
        <v>3</v>
      </c>
      <c r="D197" t="s">
        <v>91</v>
      </c>
      <c r="E197" t="s">
        <v>122</v>
      </c>
      <c r="F197" t="s">
        <v>290</v>
      </c>
      <c r="G197" s="3">
        <v>1</v>
      </c>
      <c r="H197" s="4">
        <v>5.9219964504100737</v>
      </c>
      <c r="I197" s="4">
        <v>6</v>
      </c>
      <c r="J197" s="3">
        <v>0</v>
      </c>
      <c r="K197" t="s">
        <v>68</v>
      </c>
      <c r="M197" t="s">
        <v>333</v>
      </c>
      <c r="N197">
        <v>1740</v>
      </c>
      <c r="O197">
        <v>3</v>
      </c>
      <c r="P197" t="s">
        <v>91</v>
      </c>
      <c r="Q197" t="s">
        <v>122</v>
      </c>
      <c r="R197" t="s">
        <v>334</v>
      </c>
      <c r="S197">
        <v>1</v>
      </c>
      <c r="T197">
        <v>5.9143032819496169</v>
      </c>
      <c r="U197">
        <v>6</v>
      </c>
      <c r="V197">
        <v>0</v>
      </c>
      <c r="W197" t="s">
        <v>68</v>
      </c>
      <c r="Y197" t="b">
        <f t="shared" si="4"/>
        <v>1</v>
      </c>
    </row>
    <row r="198" spans="1:25" x14ac:dyDescent="0.25">
      <c r="A198" t="s">
        <v>333</v>
      </c>
      <c r="B198" s="3">
        <v>1741</v>
      </c>
      <c r="C198" s="3">
        <v>4</v>
      </c>
      <c r="D198" t="s">
        <v>91</v>
      </c>
      <c r="E198" t="s">
        <v>335</v>
      </c>
      <c r="F198" t="s">
        <v>336</v>
      </c>
      <c r="G198" s="3">
        <v>2</v>
      </c>
      <c r="H198" s="4">
        <v>3.7291039876456011</v>
      </c>
      <c r="I198" s="4">
        <v>3</v>
      </c>
      <c r="J198" s="3">
        <v>0</v>
      </c>
      <c r="K198" t="s">
        <v>68</v>
      </c>
      <c r="M198" t="s">
        <v>333</v>
      </c>
      <c r="N198">
        <v>1740</v>
      </c>
      <c r="O198">
        <v>4</v>
      </c>
      <c r="P198" t="s">
        <v>91</v>
      </c>
      <c r="Q198" t="s">
        <v>335</v>
      </c>
      <c r="R198" t="s">
        <v>337</v>
      </c>
      <c r="S198">
        <v>2</v>
      </c>
      <c r="T198">
        <v>3.7234045738509289</v>
      </c>
      <c r="U198">
        <v>3</v>
      </c>
      <c r="V198">
        <v>0</v>
      </c>
      <c r="W198" t="s">
        <v>68</v>
      </c>
      <c r="Y198" t="b">
        <f t="shared" si="4"/>
        <v>1</v>
      </c>
    </row>
    <row r="199" spans="1:25" x14ac:dyDescent="0.25">
      <c r="A199" t="s">
        <v>333</v>
      </c>
      <c r="B199" s="3">
        <v>1741</v>
      </c>
      <c r="C199" s="3">
        <v>5</v>
      </c>
      <c r="D199" t="s">
        <v>91</v>
      </c>
      <c r="E199" t="s">
        <v>338</v>
      </c>
      <c r="F199" t="s">
        <v>339</v>
      </c>
      <c r="G199" s="3">
        <v>3</v>
      </c>
      <c r="H199" s="4">
        <v>3.4314213548097392</v>
      </c>
      <c r="I199" s="4">
        <v>3</v>
      </c>
      <c r="J199" s="3">
        <v>0</v>
      </c>
      <c r="K199" t="s">
        <v>68</v>
      </c>
      <c r="M199" t="s">
        <v>333</v>
      </c>
      <c r="N199">
        <v>1740</v>
      </c>
      <c r="O199">
        <v>5</v>
      </c>
      <c r="P199" t="s">
        <v>91</v>
      </c>
      <c r="Q199" t="s">
        <v>338</v>
      </c>
      <c r="R199" t="s">
        <v>340</v>
      </c>
      <c r="S199">
        <v>3</v>
      </c>
      <c r="T199">
        <v>3.4281416184327398</v>
      </c>
      <c r="U199">
        <v>3</v>
      </c>
      <c r="V199">
        <v>0</v>
      </c>
      <c r="W199" t="s">
        <v>68</v>
      </c>
      <c r="Y199" t="b">
        <f t="shared" si="4"/>
        <v>1</v>
      </c>
    </row>
    <row r="200" spans="1:25" x14ac:dyDescent="0.25">
      <c r="A200" t="s">
        <v>333</v>
      </c>
      <c r="B200" s="3">
        <v>1741</v>
      </c>
      <c r="C200" s="3">
        <v>6</v>
      </c>
      <c r="D200" t="s">
        <v>91</v>
      </c>
      <c r="E200" t="s">
        <v>341</v>
      </c>
      <c r="F200" t="s">
        <v>342</v>
      </c>
      <c r="G200" s="3">
        <v>4</v>
      </c>
      <c r="H200" s="4">
        <v>2.510727920574213</v>
      </c>
      <c r="I200" s="4">
        <v>4</v>
      </c>
      <c r="J200" s="3">
        <v>0</v>
      </c>
      <c r="K200" t="s">
        <v>68</v>
      </c>
      <c r="M200" t="s">
        <v>333</v>
      </c>
      <c r="N200">
        <v>1740</v>
      </c>
      <c r="O200">
        <v>6</v>
      </c>
      <c r="P200" t="s">
        <v>91</v>
      </c>
      <c r="Q200" t="s">
        <v>341</v>
      </c>
      <c r="R200" t="s">
        <v>343</v>
      </c>
      <c r="S200">
        <v>4</v>
      </c>
      <c r="T200">
        <v>2.5066661826884622</v>
      </c>
      <c r="U200">
        <v>4</v>
      </c>
      <c r="V200">
        <v>0</v>
      </c>
      <c r="W200" t="s">
        <v>68</v>
      </c>
      <c r="Y200" t="b">
        <f t="shared" si="4"/>
        <v>1</v>
      </c>
    </row>
    <row r="201" spans="1:25" x14ac:dyDescent="0.25">
      <c r="A201" t="s">
        <v>333</v>
      </c>
      <c r="B201" s="3">
        <v>1741</v>
      </c>
      <c r="C201" s="3">
        <v>7</v>
      </c>
      <c r="D201" t="s">
        <v>91</v>
      </c>
      <c r="E201" t="s">
        <v>163</v>
      </c>
      <c r="F201" t="s">
        <v>344</v>
      </c>
      <c r="G201" s="3">
        <v>5</v>
      </c>
      <c r="H201" s="4">
        <v>2.327410200442428</v>
      </c>
      <c r="I201" s="4">
        <v>3</v>
      </c>
      <c r="J201" s="3">
        <v>0</v>
      </c>
      <c r="K201" t="s">
        <v>68</v>
      </c>
      <c r="M201" t="s">
        <v>333</v>
      </c>
      <c r="N201">
        <v>1740</v>
      </c>
      <c r="O201">
        <v>7</v>
      </c>
      <c r="P201" t="s">
        <v>91</v>
      </c>
      <c r="Q201" t="s">
        <v>163</v>
      </c>
      <c r="R201" t="s">
        <v>165</v>
      </c>
      <c r="S201">
        <v>5</v>
      </c>
      <c r="T201">
        <v>2.3239398385410448</v>
      </c>
      <c r="U201">
        <v>3</v>
      </c>
      <c r="V201">
        <v>0</v>
      </c>
      <c r="W201" t="s">
        <v>68</v>
      </c>
      <c r="Y201" t="b">
        <f t="shared" si="4"/>
        <v>1</v>
      </c>
    </row>
    <row r="202" spans="1:25" x14ac:dyDescent="0.25">
      <c r="A202" t="s">
        <v>333</v>
      </c>
      <c r="B202" s="3">
        <v>1741</v>
      </c>
      <c r="C202" s="3">
        <v>8</v>
      </c>
      <c r="D202" t="s">
        <v>91</v>
      </c>
      <c r="E202" t="s">
        <v>345</v>
      </c>
      <c r="F202" t="s">
        <v>346</v>
      </c>
      <c r="G202" s="3">
        <v>6</v>
      </c>
      <c r="H202" s="4">
        <v>1.6979438472707029</v>
      </c>
      <c r="I202" s="4">
        <v>2</v>
      </c>
      <c r="J202" s="3">
        <v>0</v>
      </c>
      <c r="K202" t="s">
        <v>68</v>
      </c>
      <c r="M202" t="s">
        <v>333</v>
      </c>
      <c r="N202">
        <v>1740</v>
      </c>
      <c r="O202">
        <v>8</v>
      </c>
      <c r="P202" t="s">
        <v>91</v>
      </c>
      <c r="Q202" t="s">
        <v>345</v>
      </c>
      <c r="R202" t="s">
        <v>346</v>
      </c>
      <c r="S202">
        <v>6</v>
      </c>
      <c r="T202">
        <v>1.6956265357651319</v>
      </c>
      <c r="U202">
        <v>2</v>
      </c>
      <c r="V202">
        <v>0</v>
      </c>
      <c r="W202" t="s">
        <v>68</v>
      </c>
      <c r="Y202" t="b">
        <f t="shared" si="4"/>
        <v>1</v>
      </c>
    </row>
    <row r="203" spans="1:25" x14ac:dyDescent="0.25">
      <c r="A203" t="s">
        <v>333</v>
      </c>
      <c r="B203" s="3">
        <v>1741</v>
      </c>
      <c r="C203" s="3">
        <v>9</v>
      </c>
      <c r="D203" t="s">
        <v>91</v>
      </c>
      <c r="E203" t="s">
        <v>205</v>
      </c>
      <c r="F203" t="s">
        <v>347</v>
      </c>
      <c r="G203" s="3">
        <v>7</v>
      </c>
      <c r="H203" s="4">
        <v>1.0754946832793399</v>
      </c>
      <c r="I203" s="4">
        <v>1</v>
      </c>
      <c r="J203" s="3">
        <v>0</v>
      </c>
      <c r="K203" t="s">
        <v>68</v>
      </c>
      <c r="M203" t="s">
        <v>333</v>
      </c>
      <c r="N203">
        <v>1740</v>
      </c>
      <c r="O203">
        <v>9</v>
      </c>
      <c r="P203" t="s">
        <v>91</v>
      </c>
      <c r="Q203" t="s">
        <v>205</v>
      </c>
      <c r="R203" t="s">
        <v>347</v>
      </c>
      <c r="S203">
        <v>7</v>
      </c>
      <c r="T203">
        <v>1.0740782712121859</v>
      </c>
      <c r="U203">
        <v>1</v>
      </c>
      <c r="V203">
        <v>0</v>
      </c>
      <c r="W203" t="s">
        <v>68</v>
      </c>
      <c r="Y203" t="b">
        <f t="shared" si="4"/>
        <v>1</v>
      </c>
    </row>
    <row r="204" spans="1:25" x14ac:dyDescent="0.25">
      <c r="A204" t="s">
        <v>333</v>
      </c>
      <c r="B204" s="3">
        <v>1741</v>
      </c>
      <c r="C204" s="3">
        <v>10</v>
      </c>
      <c r="D204" t="s">
        <v>91</v>
      </c>
      <c r="E204" t="s">
        <v>348</v>
      </c>
      <c r="F204" t="s">
        <v>349</v>
      </c>
      <c r="G204" s="3">
        <v>8</v>
      </c>
      <c r="H204" s="4">
        <v>1.063482085008808</v>
      </c>
      <c r="I204" s="4">
        <v>1</v>
      </c>
      <c r="J204" s="3">
        <v>0</v>
      </c>
      <c r="K204" t="s">
        <v>68</v>
      </c>
      <c r="M204" t="s">
        <v>333</v>
      </c>
      <c r="N204">
        <v>1740</v>
      </c>
      <c r="O204">
        <v>10</v>
      </c>
      <c r="P204" t="s">
        <v>91</v>
      </c>
      <c r="Q204" t="s">
        <v>348</v>
      </c>
      <c r="R204" t="s">
        <v>350</v>
      </c>
      <c r="S204">
        <v>8</v>
      </c>
      <c r="T204">
        <v>1.062060086173134</v>
      </c>
      <c r="U204">
        <v>1</v>
      </c>
      <c r="V204">
        <v>0</v>
      </c>
      <c r="W204" t="s">
        <v>68</v>
      </c>
      <c r="Y204" t="b">
        <f t="shared" si="4"/>
        <v>1</v>
      </c>
    </row>
    <row r="205" spans="1:25" x14ac:dyDescent="0.25">
      <c r="A205" t="s">
        <v>333</v>
      </c>
      <c r="B205" s="3">
        <v>1741</v>
      </c>
      <c r="C205" s="3">
        <v>11</v>
      </c>
      <c r="D205" t="s">
        <v>91</v>
      </c>
      <c r="E205" t="s">
        <v>128</v>
      </c>
      <c r="F205" t="s">
        <v>148</v>
      </c>
      <c r="G205" s="3">
        <v>9</v>
      </c>
      <c r="H205" s="4">
        <v>1.047673693393967</v>
      </c>
      <c r="I205" s="4">
        <v>1</v>
      </c>
      <c r="J205" s="3">
        <v>0</v>
      </c>
      <c r="K205" t="s">
        <v>68</v>
      </c>
      <c r="M205" t="s">
        <v>333</v>
      </c>
      <c r="N205">
        <v>1740</v>
      </c>
      <c r="O205">
        <v>11</v>
      </c>
      <c r="P205" t="s">
        <v>91</v>
      </c>
      <c r="Q205" t="s">
        <v>128</v>
      </c>
      <c r="R205" t="s">
        <v>129</v>
      </c>
      <c r="S205">
        <v>9</v>
      </c>
      <c r="T205">
        <v>1.04635673879846</v>
      </c>
      <c r="U205">
        <v>1</v>
      </c>
      <c r="V205">
        <v>0</v>
      </c>
      <c r="W205" t="s">
        <v>68</v>
      </c>
      <c r="Y205" t="b">
        <f t="shared" si="4"/>
        <v>1</v>
      </c>
    </row>
    <row r="206" spans="1:25" x14ac:dyDescent="0.25">
      <c r="A206" t="s">
        <v>333</v>
      </c>
      <c r="B206" s="3">
        <v>1741</v>
      </c>
      <c r="C206" s="3">
        <v>12</v>
      </c>
      <c r="D206" t="s">
        <v>91</v>
      </c>
      <c r="E206" t="s">
        <v>351</v>
      </c>
      <c r="F206" t="s">
        <v>352</v>
      </c>
      <c r="G206" s="3">
        <v>10</v>
      </c>
      <c r="H206" s="4">
        <v>1.0452093329545711</v>
      </c>
      <c r="I206" s="4">
        <v>1</v>
      </c>
      <c r="J206" s="3">
        <v>0</v>
      </c>
      <c r="K206" t="s">
        <v>68</v>
      </c>
      <c r="M206" t="s">
        <v>333</v>
      </c>
      <c r="N206">
        <v>1740</v>
      </c>
      <c r="O206">
        <v>12</v>
      </c>
      <c r="P206" t="s">
        <v>91</v>
      </c>
      <c r="Q206" t="s">
        <v>351</v>
      </c>
      <c r="R206" t="s">
        <v>352</v>
      </c>
      <c r="S206">
        <v>10</v>
      </c>
      <c r="T206">
        <v>1.043839358001097</v>
      </c>
      <c r="U206">
        <v>1</v>
      </c>
      <c r="V206">
        <v>0</v>
      </c>
      <c r="W206" t="s">
        <v>68</v>
      </c>
      <c r="Y206" t="b">
        <f t="shared" si="4"/>
        <v>1</v>
      </c>
    </row>
    <row r="209" spans="1:25" ht="15.75" x14ac:dyDescent="0.3">
      <c r="A209" s="12" t="s">
        <v>353</v>
      </c>
      <c r="M209" s="12" t="s">
        <v>353</v>
      </c>
    </row>
    <row r="210" spans="1:25" ht="30.75" thickBot="1" x14ac:dyDescent="0.3">
      <c r="A210" s="2" t="s">
        <v>80</v>
      </c>
      <c r="B210" s="2" t="s">
        <v>13</v>
      </c>
      <c r="C210" s="2" t="s">
        <v>81</v>
      </c>
      <c r="D210" s="2" t="s">
        <v>82</v>
      </c>
      <c r="E210" s="2" t="s">
        <v>83</v>
      </c>
      <c r="F210" s="2" t="s">
        <v>84</v>
      </c>
      <c r="G210" s="2" t="s">
        <v>85</v>
      </c>
      <c r="H210" s="2" t="s">
        <v>86</v>
      </c>
      <c r="I210" s="2" t="s">
        <v>87</v>
      </c>
      <c r="J210" s="2" t="s">
        <v>88</v>
      </c>
      <c r="K210" s="2" t="s">
        <v>89</v>
      </c>
      <c r="M210" s="2" t="s">
        <v>80</v>
      </c>
      <c r="N210" s="2" t="s">
        <v>13</v>
      </c>
      <c r="O210" s="2" t="s">
        <v>81</v>
      </c>
      <c r="P210" s="2" t="s">
        <v>82</v>
      </c>
      <c r="Q210" s="2" t="s">
        <v>83</v>
      </c>
      <c r="R210" s="2" t="s">
        <v>84</v>
      </c>
      <c r="S210" s="2" t="s">
        <v>85</v>
      </c>
      <c r="T210" s="2" t="s">
        <v>86</v>
      </c>
      <c r="U210" s="2" t="s">
        <v>87</v>
      </c>
      <c r="V210" s="2" t="s">
        <v>88</v>
      </c>
      <c r="W210" s="2" t="s">
        <v>89</v>
      </c>
    </row>
    <row r="211" spans="1:25" x14ac:dyDescent="0.25">
      <c r="A211" t="s">
        <v>354</v>
      </c>
      <c r="B211" s="3">
        <v>1744</v>
      </c>
      <c r="C211" s="3">
        <v>1</v>
      </c>
      <c r="J211" s="3">
        <v>0</v>
      </c>
      <c r="K211" t="s">
        <v>68</v>
      </c>
      <c r="M211" t="s">
        <v>354</v>
      </c>
      <c r="N211">
        <v>1744</v>
      </c>
      <c r="O211">
        <v>1</v>
      </c>
      <c r="V211">
        <v>0</v>
      </c>
      <c r="W211" t="s">
        <v>68</v>
      </c>
      <c r="Y211" t="b">
        <f t="shared" si="4"/>
        <v>1</v>
      </c>
    </row>
    <row r="212" spans="1:25" x14ac:dyDescent="0.25">
      <c r="A212" t="s">
        <v>354</v>
      </c>
      <c r="B212" s="3">
        <v>1744</v>
      </c>
      <c r="C212" s="3">
        <v>2</v>
      </c>
      <c r="J212" s="3">
        <v>0</v>
      </c>
      <c r="K212" t="s">
        <v>68</v>
      </c>
      <c r="M212" t="s">
        <v>354</v>
      </c>
      <c r="N212">
        <v>1744</v>
      </c>
      <c r="O212">
        <v>2</v>
      </c>
      <c r="V212">
        <v>0</v>
      </c>
      <c r="W212" t="s">
        <v>68</v>
      </c>
      <c r="Y212" t="b">
        <f t="shared" si="4"/>
        <v>1</v>
      </c>
    </row>
    <row r="213" spans="1:25" x14ac:dyDescent="0.25">
      <c r="A213" t="s">
        <v>354</v>
      </c>
      <c r="B213" s="3">
        <v>1744</v>
      </c>
      <c r="C213" s="3">
        <v>3</v>
      </c>
      <c r="D213" t="s">
        <v>91</v>
      </c>
      <c r="E213" t="s">
        <v>198</v>
      </c>
      <c r="F213" t="s">
        <v>199</v>
      </c>
      <c r="G213" s="3">
        <v>1</v>
      </c>
      <c r="H213" s="4">
        <v>3.130294963913316</v>
      </c>
      <c r="I213" s="4">
        <v>3</v>
      </c>
      <c r="J213" s="3">
        <v>0</v>
      </c>
      <c r="K213" t="s">
        <v>68</v>
      </c>
      <c r="M213" t="s">
        <v>354</v>
      </c>
      <c r="N213">
        <v>1744</v>
      </c>
      <c r="O213">
        <v>3</v>
      </c>
      <c r="P213" t="s">
        <v>91</v>
      </c>
      <c r="Q213" t="s">
        <v>198</v>
      </c>
      <c r="R213" t="s">
        <v>199</v>
      </c>
      <c r="S213">
        <v>1</v>
      </c>
      <c r="T213">
        <v>3.126034734214906</v>
      </c>
      <c r="U213">
        <v>3</v>
      </c>
      <c r="V213">
        <v>0</v>
      </c>
      <c r="W213" t="s">
        <v>68</v>
      </c>
      <c r="Y213" t="b">
        <f t="shared" si="4"/>
        <v>1</v>
      </c>
    </row>
    <row r="214" spans="1:25" x14ac:dyDescent="0.25">
      <c r="A214" t="s">
        <v>354</v>
      </c>
      <c r="B214" s="3">
        <v>1744</v>
      </c>
      <c r="C214" s="3">
        <v>4</v>
      </c>
      <c r="D214" t="s">
        <v>91</v>
      </c>
      <c r="E214" t="s">
        <v>355</v>
      </c>
      <c r="F214" t="s">
        <v>356</v>
      </c>
      <c r="G214" s="3">
        <v>2</v>
      </c>
      <c r="H214" s="4">
        <v>1.070150836196355</v>
      </c>
      <c r="I214" s="4">
        <v>1</v>
      </c>
      <c r="J214" s="3">
        <v>0</v>
      </c>
      <c r="K214" t="s">
        <v>68</v>
      </c>
      <c r="M214" t="s">
        <v>354</v>
      </c>
      <c r="N214">
        <v>1744</v>
      </c>
      <c r="O214">
        <v>4</v>
      </c>
      <c r="P214" t="s">
        <v>91</v>
      </c>
      <c r="Q214" t="s">
        <v>355</v>
      </c>
      <c r="R214" t="s">
        <v>356</v>
      </c>
      <c r="S214">
        <v>2</v>
      </c>
      <c r="T214">
        <v>1.068758911837294</v>
      </c>
      <c r="U214">
        <v>1</v>
      </c>
      <c r="V214">
        <v>0</v>
      </c>
      <c r="W214" t="s">
        <v>68</v>
      </c>
      <c r="Y214" t="b">
        <f t="shared" si="4"/>
        <v>1</v>
      </c>
    </row>
    <row r="215" spans="1:25" x14ac:dyDescent="0.25">
      <c r="A215" t="s">
        <v>354</v>
      </c>
      <c r="B215" s="3">
        <v>1744</v>
      </c>
      <c r="C215" s="3">
        <v>5</v>
      </c>
      <c r="D215" t="s">
        <v>91</v>
      </c>
      <c r="E215" t="s">
        <v>357</v>
      </c>
      <c r="F215" t="s">
        <v>358</v>
      </c>
      <c r="G215" s="3">
        <v>3</v>
      </c>
      <c r="H215" s="4">
        <v>1.0081290879531981</v>
      </c>
      <c r="I215" s="4">
        <v>1</v>
      </c>
      <c r="J215" s="3">
        <v>0</v>
      </c>
      <c r="K215" t="s">
        <v>68</v>
      </c>
      <c r="M215" t="s">
        <v>354</v>
      </c>
      <c r="N215">
        <v>1744</v>
      </c>
      <c r="O215">
        <v>5</v>
      </c>
      <c r="P215" t="s">
        <v>91</v>
      </c>
      <c r="Q215" t="s">
        <v>357</v>
      </c>
      <c r="R215" t="s">
        <v>358</v>
      </c>
      <c r="S215">
        <v>3</v>
      </c>
      <c r="T215">
        <v>1.0065756359100431</v>
      </c>
      <c r="U215">
        <v>1</v>
      </c>
      <c r="V215">
        <v>0</v>
      </c>
      <c r="W215" t="s">
        <v>68</v>
      </c>
      <c r="Y215" t="b">
        <f t="shared" si="4"/>
        <v>1</v>
      </c>
    </row>
    <row r="216" spans="1:25" x14ac:dyDescent="0.25">
      <c r="A216" t="s">
        <v>354</v>
      </c>
      <c r="B216" s="3">
        <v>1744</v>
      </c>
      <c r="C216" s="3">
        <v>6</v>
      </c>
      <c r="D216" t="s">
        <v>91</v>
      </c>
      <c r="E216" t="s">
        <v>268</v>
      </c>
      <c r="F216" t="s">
        <v>327</v>
      </c>
      <c r="G216" s="3">
        <v>4</v>
      </c>
      <c r="H216" s="4">
        <v>1</v>
      </c>
      <c r="I216" s="4">
        <v>1</v>
      </c>
      <c r="J216" s="3">
        <v>0</v>
      </c>
      <c r="K216" t="s">
        <v>68</v>
      </c>
      <c r="M216" t="s">
        <v>354</v>
      </c>
      <c r="N216">
        <v>1744</v>
      </c>
      <c r="O216">
        <v>6</v>
      </c>
      <c r="P216" t="s">
        <v>91</v>
      </c>
      <c r="Q216" t="s">
        <v>268</v>
      </c>
      <c r="R216" t="s">
        <v>359</v>
      </c>
      <c r="S216">
        <v>4</v>
      </c>
      <c r="T216">
        <v>1</v>
      </c>
      <c r="U216">
        <v>1</v>
      </c>
      <c r="V216">
        <v>0</v>
      </c>
      <c r="W216" t="s">
        <v>68</v>
      </c>
      <c r="Y216" t="b">
        <f t="shared" si="4"/>
        <v>1</v>
      </c>
    </row>
    <row r="217" spans="1:25" x14ac:dyDescent="0.25">
      <c r="A217" t="s">
        <v>354</v>
      </c>
      <c r="B217" s="3">
        <v>1744</v>
      </c>
      <c r="C217" s="3">
        <v>7</v>
      </c>
      <c r="D217" t="s">
        <v>91</v>
      </c>
      <c r="E217" t="s">
        <v>360</v>
      </c>
      <c r="F217" t="s">
        <v>361</v>
      </c>
      <c r="G217" s="3">
        <v>5</v>
      </c>
      <c r="H217" s="4">
        <v>0.71418829100899073</v>
      </c>
      <c r="I217" s="4">
        <v>1</v>
      </c>
      <c r="J217" s="3">
        <v>0</v>
      </c>
      <c r="K217" t="s">
        <v>68</v>
      </c>
      <c r="M217" t="s">
        <v>354</v>
      </c>
      <c r="N217">
        <v>1744</v>
      </c>
      <c r="O217">
        <v>7</v>
      </c>
      <c r="P217" t="s">
        <v>91</v>
      </c>
      <c r="Q217" t="s">
        <v>360</v>
      </c>
      <c r="R217" t="s">
        <v>361</v>
      </c>
      <c r="S217">
        <v>5</v>
      </c>
      <c r="T217">
        <v>0.71324692616476704</v>
      </c>
      <c r="U217">
        <v>1</v>
      </c>
      <c r="V217">
        <v>0</v>
      </c>
      <c r="W217" t="s">
        <v>68</v>
      </c>
      <c r="Y217" t="b">
        <f t="shared" si="4"/>
        <v>1</v>
      </c>
    </row>
    <row r="218" spans="1:25" x14ac:dyDescent="0.25">
      <c r="A218" t="s">
        <v>354</v>
      </c>
      <c r="B218" s="3">
        <v>1744</v>
      </c>
      <c r="C218" s="3">
        <v>8</v>
      </c>
      <c r="D218" t="s">
        <v>91</v>
      </c>
      <c r="E218" t="s">
        <v>362</v>
      </c>
      <c r="F218" t="s">
        <v>363</v>
      </c>
      <c r="G218" s="3">
        <v>6</v>
      </c>
      <c r="H218" s="4">
        <v>0.63270890267468727</v>
      </c>
      <c r="I218" s="4">
        <v>1</v>
      </c>
      <c r="J218" s="3">
        <v>0</v>
      </c>
      <c r="K218" t="s">
        <v>68</v>
      </c>
      <c r="M218" t="s">
        <v>354</v>
      </c>
      <c r="N218">
        <v>1744</v>
      </c>
      <c r="O218">
        <v>8</v>
      </c>
      <c r="P218" t="s">
        <v>91</v>
      </c>
      <c r="Q218" t="s">
        <v>362</v>
      </c>
      <c r="R218" t="s">
        <v>364</v>
      </c>
      <c r="S218">
        <v>6</v>
      </c>
      <c r="T218">
        <v>0.63160189889889851</v>
      </c>
      <c r="U218">
        <v>1</v>
      </c>
      <c r="V218">
        <v>0</v>
      </c>
      <c r="W218" t="s">
        <v>68</v>
      </c>
      <c r="Y218" t="b">
        <f t="shared" si="4"/>
        <v>1</v>
      </c>
    </row>
    <row r="219" spans="1:25" x14ac:dyDescent="0.25">
      <c r="A219" t="s">
        <v>354</v>
      </c>
      <c r="B219" s="3">
        <v>1744</v>
      </c>
      <c r="C219" s="3">
        <v>9</v>
      </c>
      <c r="D219" t="s">
        <v>91</v>
      </c>
      <c r="E219" t="s">
        <v>365</v>
      </c>
      <c r="F219" t="s">
        <v>366</v>
      </c>
      <c r="G219" s="3">
        <v>7</v>
      </c>
      <c r="H219" s="4">
        <v>0.57820725035587284</v>
      </c>
      <c r="I219" s="4">
        <v>1</v>
      </c>
      <c r="J219" s="3">
        <v>0</v>
      </c>
      <c r="K219" t="s">
        <v>68</v>
      </c>
      <c r="M219" t="s">
        <v>354</v>
      </c>
      <c r="N219">
        <v>1744</v>
      </c>
      <c r="O219">
        <v>9</v>
      </c>
      <c r="P219" t="s">
        <v>91</v>
      </c>
      <c r="Q219" t="s">
        <v>365</v>
      </c>
      <c r="R219" t="s">
        <v>366</v>
      </c>
      <c r="S219">
        <v>7</v>
      </c>
      <c r="T219">
        <v>0.57750848122651077</v>
      </c>
      <c r="U219">
        <v>1</v>
      </c>
      <c r="V219">
        <v>0</v>
      </c>
      <c r="W219" t="s">
        <v>68</v>
      </c>
      <c r="Y219" t="b">
        <f t="shared" si="4"/>
        <v>1</v>
      </c>
    </row>
    <row r="220" spans="1:25" x14ac:dyDescent="0.25">
      <c r="A220" t="s">
        <v>354</v>
      </c>
      <c r="B220" s="3">
        <v>1744</v>
      </c>
      <c r="C220" s="3">
        <v>10</v>
      </c>
      <c r="D220" t="s">
        <v>91</v>
      </c>
      <c r="E220" t="s">
        <v>367</v>
      </c>
      <c r="F220" t="s">
        <v>368</v>
      </c>
      <c r="G220" s="3">
        <v>8</v>
      </c>
      <c r="H220" s="4">
        <v>0.39789897919827127</v>
      </c>
      <c r="I220" s="4">
        <v>2</v>
      </c>
      <c r="J220" s="3">
        <v>0</v>
      </c>
      <c r="K220" t="s">
        <v>68</v>
      </c>
      <c r="M220" t="s">
        <v>354</v>
      </c>
      <c r="N220">
        <v>1744</v>
      </c>
      <c r="O220">
        <v>10</v>
      </c>
      <c r="P220" t="s">
        <v>91</v>
      </c>
      <c r="Q220" t="s">
        <v>367</v>
      </c>
      <c r="R220" t="s">
        <v>368</v>
      </c>
      <c r="S220">
        <v>8</v>
      </c>
      <c r="T220">
        <v>0.39557222613997711</v>
      </c>
      <c r="U220">
        <v>2</v>
      </c>
      <c r="V220">
        <v>0</v>
      </c>
      <c r="W220" t="s">
        <v>68</v>
      </c>
      <c r="Y220" t="b">
        <f t="shared" si="4"/>
        <v>1</v>
      </c>
    </row>
    <row r="221" spans="1:25" x14ac:dyDescent="0.25">
      <c r="A221" t="s">
        <v>354</v>
      </c>
      <c r="B221" s="3">
        <v>1744</v>
      </c>
      <c r="C221" s="3">
        <v>11</v>
      </c>
      <c r="D221" t="s">
        <v>91</v>
      </c>
      <c r="E221" t="s">
        <v>94</v>
      </c>
      <c r="F221" t="s">
        <v>95</v>
      </c>
      <c r="J221" s="3">
        <v>1</v>
      </c>
      <c r="K221" t="s">
        <v>68</v>
      </c>
      <c r="M221" t="s">
        <v>354</v>
      </c>
      <c r="N221">
        <v>1744</v>
      </c>
      <c r="O221">
        <v>11</v>
      </c>
      <c r="P221" t="s">
        <v>91</v>
      </c>
      <c r="Q221" t="s">
        <v>168</v>
      </c>
      <c r="R221" t="s">
        <v>169</v>
      </c>
      <c r="V221">
        <v>1</v>
      </c>
      <c r="W221" t="s">
        <v>68</v>
      </c>
      <c r="Y221" t="b">
        <f t="shared" si="4"/>
        <v>0</v>
      </c>
    </row>
    <row r="222" spans="1:25" x14ac:dyDescent="0.25">
      <c r="A222" t="s">
        <v>354</v>
      </c>
      <c r="B222" s="3">
        <v>1744</v>
      </c>
      <c r="C222" s="3">
        <v>12</v>
      </c>
      <c r="D222" t="s">
        <v>91</v>
      </c>
      <c r="E222" t="s">
        <v>168</v>
      </c>
      <c r="F222" t="s">
        <v>169</v>
      </c>
      <c r="J222" s="3">
        <v>1</v>
      </c>
      <c r="K222" t="s">
        <v>68</v>
      </c>
      <c r="M222" t="s">
        <v>354</v>
      </c>
      <c r="N222">
        <v>1744</v>
      </c>
      <c r="O222">
        <v>12</v>
      </c>
      <c r="P222" t="s">
        <v>91</v>
      </c>
      <c r="Q222" t="s">
        <v>94</v>
      </c>
      <c r="R222" t="s">
        <v>95</v>
      </c>
      <c r="V222">
        <v>1</v>
      </c>
      <c r="W222" t="s">
        <v>68</v>
      </c>
      <c r="Y222" t="b">
        <f t="shared" si="4"/>
        <v>0</v>
      </c>
    </row>
    <row r="225" spans="1:25" ht="15.75" x14ac:dyDescent="0.3">
      <c r="A225" s="12" t="s">
        <v>369</v>
      </c>
      <c r="M225" s="12" t="s">
        <v>369</v>
      </c>
    </row>
    <row r="226" spans="1:25" ht="30.75" thickBot="1" x14ac:dyDescent="0.3">
      <c r="A226" s="2" t="s">
        <v>80</v>
      </c>
      <c r="B226" s="2" t="s">
        <v>13</v>
      </c>
      <c r="C226" s="2" t="s">
        <v>81</v>
      </c>
      <c r="D226" s="2" t="s">
        <v>82</v>
      </c>
      <c r="E226" s="2" t="s">
        <v>83</v>
      </c>
      <c r="F226" s="2" t="s">
        <v>84</v>
      </c>
      <c r="G226" s="2" t="s">
        <v>85</v>
      </c>
      <c r="H226" s="2" t="s">
        <v>86</v>
      </c>
      <c r="I226" s="2" t="s">
        <v>87</v>
      </c>
      <c r="J226" s="2" t="s">
        <v>88</v>
      </c>
      <c r="K226" s="2" t="s">
        <v>89</v>
      </c>
      <c r="M226" s="2" t="s">
        <v>80</v>
      </c>
      <c r="N226" s="2" t="s">
        <v>13</v>
      </c>
      <c r="O226" s="2" t="s">
        <v>81</v>
      </c>
      <c r="P226" s="2" t="s">
        <v>82</v>
      </c>
      <c r="Q226" s="2" t="s">
        <v>83</v>
      </c>
      <c r="R226" s="2" t="s">
        <v>84</v>
      </c>
      <c r="S226" s="2" t="s">
        <v>85</v>
      </c>
      <c r="T226" s="2" t="s">
        <v>86</v>
      </c>
      <c r="U226" s="2" t="s">
        <v>87</v>
      </c>
      <c r="V226" s="2" t="s">
        <v>88</v>
      </c>
      <c r="W226" s="2" t="s">
        <v>89</v>
      </c>
    </row>
    <row r="227" spans="1:25" x14ac:dyDescent="0.25">
      <c r="A227" t="s">
        <v>370</v>
      </c>
      <c r="B227" s="3">
        <v>1744</v>
      </c>
      <c r="C227" s="3">
        <v>1</v>
      </c>
      <c r="J227" s="3">
        <v>0</v>
      </c>
      <c r="K227" t="s">
        <v>68</v>
      </c>
      <c r="M227" t="s">
        <v>370</v>
      </c>
      <c r="N227">
        <v>1741</v>
      </c>
      <c r="O227">
        <v>1</v>
      </c>
      <c r="V227">
        <v>0</v>
      </c>
      <c r="W227" t="s">
        <v>68</v>
      </c>
      <c r="Y227" t="b">
        <f t="shared" si="4"/>
        <v>1</v>
      </c>
    </row>
    <row r="228" spans="1:25" x14ac:dyDescent="0.25">
      <c r="A228" t="s">
        <v>370</v>
      </c>
      <c r="B228" s="3">
        <v>1744</v>
      </c>
      <c r="C228" s="3">
        <v>2</v>
      </c>
      <c r="J228" s="3">
        <v>0</v>
      </c>
      <c r="K228" t="s">
        <v>68</v>
      </c>
      <c r="M228" t="s">
        <v>370</v>
      </c>
      <c r="N228">
        <v>1741</v>
      </c>
      <c r="O228">
        <v>2</v>
      </c>
      <c r="V228">
        <v>0</v>
      </c>
      <c r="W228" t="s">
        <v>68</v>
      </c>
      <c r="Y228" t="b">
        <f t="shared" si="4"/>
        <v>1</v>
      </c>
    </row>
    <row r="229" spans="1:25" x14ac:dyDescent="0.25">
      <c r="A229" t="s">
        <v>370</v>
      </c>
      <c r="B229" s="3">
        <v>1744</v>
      </c>
      <c r="C229" s="3">
        <v>3</v>
      </c>
      <c r="D229" t="s">
        <v>91</v>
      </c>
      <c r="E229" t="s">
        <v>122</v>
      </c>
      <c r="F229" t="s">
        <v>130</v>
      </c>
      <c r="G229" s="3">
        <v>1</v>
      </c>
      <c r="H229" s="4">
        <v>5.9219964504100737</v>
      </c>
      <c r="I229" s="4">
        <v>6</v>
      </c>
      <c r="J229" s="3">
        <v>0</v>
      </c>
      <c r="K229" t="s">
        <v>68</v>
      </c>
      <c r="M229" t="s">
        <v>370</v>
      </c>
      <c r="N229">
        <v>1741</v>
      </c>
      <c r="O229">
        <v>3</v>
      </c>
      <c r="P229" t="s">
        <v>91</v>
      </c>
      <c r="Q229" t="s">
        <v>122</v>
      </c>
      <c r="R229" t="s">
        <v>130</v>
      </c>
      <c r="S229">
        <v>1</v>
      </c>
      <c r="T229">
        <v>5.9143032819496169</v>
      </c>
      <c r="U229">
        <v>6</v>
      </c>
      <c r="V229">
        <v>0</v>
      </c>
      <c r="W229" t="s">
        <v>68</v>
      </c>
      <c r="Y229" t="b">
        <f t="shared" si="4"/>
        <v>1</v>
      </c>
    </row>
    <row r="230" spans="1:25" x14ac:dyDescent="0.25">
      <c r="A230" t="s">
        <v>370</v>
      </c>
      <c r="B230" s="3">
        <v>1744</v>
      </c>
      <c r="C230" s="3">
        <v>4</v>
      </c>
      <c r="D230" t="s">
        <v>91</v>
      </c>
      <c r="E230" t="s">
        <v>348</v>
      </c>
      <c r="F230" t="s">
        <v>349</v>
      </c>
      <c r="G230" s="3">
        <v>2</v>
      </c>
      <c r="H230" s="4">
        <v>1.9657529293479421</v>
      </c>
      <c r="I230" s="4">
        <v>2</v>
      </c>
      <c r="J230" s="3">
        <v>0</v>
      </c>
      <c r="K230" t="s">
        <v>68</v>
      </c>
      <c r="M230" t="s">
        <v>370</v>
      </c>
      <c r="N230">
        <v>1741</v>
      </c>
      <c r="O230">
        <v>4</v>
      </c>
      <c r="P230" t="s">
        <v>91</v>
      </c>
      <c r="Q230" t="s">
        <v>348</v>
      </c>
      <c r="R230" t="s">
        <v>350</v>
      </c>
      <c r="S230">
        <v>2</v>
      </c>
      <c r="T230">
        <v>1.963117801594529</v>
      </c>
      <c r="U230">
        <v>2</v>
      </c>
      <c r="V230">
        <v>0</v>
      </c>
      <c r="W230" t="s">
        <v>68</v>
      </c>
      <c r="Y230" t="b">
        <f t="shared" si="4"/>
        <v>1</v>
      </c>
    </row>
    <row r="231" spans="1:25" x14ac:dyDescent="0.25">
      <c r="A231" t="s">
        <v>370</v>
      </c>
      <c r="B231" s="3">
        <v>1744</v>
      </c>
      <c r="C231" s="3">
        <v>5</v>
      </c>
      <c r="D231" t="s">
        <v>91</v>
      </c>
      <c r="E231" t="s">
        <v>371</v>
      </c>
      <c r="F231" t="s">
        <v>372</v>
      </c>
      <c r="G231" s="3">
        <v>3</v>
      </c>
      <c r="H231" s="4">
        <v>1.242623086740829</v>
      </c>
      <c r="I231" s="4">
        <v>1</v>
      </c>
      <c r="J231" s="3">
        <v>0</v>
      </c>
      <c r="K231" t="s">
        <v>68</v>
      </c>
      <c r="M231" t="s">
        <v>370</v>
      </c>
      <c r="N231">
        <v>1741</v>
      </c>
      <c r="O231">
        <v>5</v>
      </c>
      <c r="P231" t="s">
        <v>91</v>
      </c>
      <c r="Q231" t="s">
        <v>371</v>
      </c>
      <c r="R231" t="s">
        <v>372</v>
      </c>
      <c r="S231">
        <v>3</v>
      </c>
      <c r="T231">
        <v>1.241046148407644</v>
      </c>
      <c r="U231">
        <v>1</v>
      </c>
      <c r="V231">
        <v>0</v>
      </c>
      <c r="W231" t="s">
        <v>68</v>
      </c>
      <c r="Y231" t="b">
        <f t="shared" si="4"/>
        <v>1</v>
      </c>
    </row>
    <row r="232" spans="1:25" x14ac:dyDescent="0.25">
      <c r="A232" t="s">
        <v>370</v>
      </c>
      <c r="B232" s="3">
        <v>1744</v>
      </c>
      <c r="C232" s="3">
        <v>6</v>
      </c>
      <c r="D232" t="s">
        <v>91</v>
      </c>
      <c r="E232" t="s">
        <v>373</v>
      </c>
      <c r="F232" t="s">
        <v>374</v>
      </c>
      <c r="G232" s="3">
        <v>4</v>
      </c>
      <c r="H232" s="4">
        <v>1.076910692517806</v>
      </c>
      <c r="I232" s="4">
        <v>1</v>
      </c>
      <c r="J232" s="3">
        <v>0</v>
      </c>
      <c r="K232" t="s">
        <v>68</v>
      </c>
      <c r="M232" t="s">
        <v>370</v>
      </c>
      <c r="N232">
        <v>1741</v>
      </c>
      <c r="O232">
        <v>6</v>
      </c>
      <c r="P232" t="s">
        <v>91</v>
      </c>
      <c r="Q232" t="s">
        <v>373</v>
      </c>
      <c r="R232" t="s">
        <v>374</v>
      </c>
      <c r="S232">
        <v>4</v>
      </c>
      <c r="T232">
        <v>1.0755214818472421</v>
      </c>
      <c r="U232">
        <v>1</v>
      </c>
      <c r="V232">
        <v>0</v>
      </c>
      <c r="W232" t="s">
        <v>68</v>
      </c>
      <c r="Y232" t="b">
        <f t="shared" si="4"/>
        <v>1</v>
      </c>
    </row>
    <row r="233" spans="1:25" x14ac:dyDescent="0.25">
      <c r="A233" t="s">
        <v>370</v>
      </c>
      <c r="B233" s="3">
        <v>1744</v>
      </c>
      <c r="C233" s="3">
        <v>7</v>
      </c>
      <c r="D233" t="s">
        <v>91</v>
      </c>
      <c r="E233" t="s">
        <v>190</v>
      </c>
      <c r="F233" t="s">
        <v>375</v>
      </c>
      <c r="G233" s="3">
        <v>5</v>
      </c>
      <c r="H233" s="4">
        <v>0.97092414079348222</v>
      </c>
      <c r="I233" s="4">
        <v>1</v>
      </c>
      <c r="J233" s="3">
        <v>0</v>
      </c>
      <c r="K233" t="s">
        <v>68</v>
      </c>
      <c r="M233" t="s">
        <v>370</v>
      </c>
      <c r="N233">
        <v>1741</v>
      </c>
      <c r="O233">
        <v>7</v>
      </c>
      <c r="P233" t="s">
        <v>91</v>
      </c>
      <c r="Q233" t="s">
        <v>190</v>
      </c>
      <c r="R233" t="s">
        <v>191</v>
      </c>
      <c r="S233">
        <v>5</v>
      </c>
      <c r="T233">
        <v>0.9696486150632484</v>
      </c>
      <c r="U233">
        <v>1</v>
      </c>
      <c r="V233">
        <v>0</v>
      </c>
      <c r="W233" t="s">
        <v>68</v>
      </c>
      <c r="Y233" t="b">
        <f t="shared" si="4"/>
        <v>1</v>
      </c>
    </row>
    <row r="234" spans="1:25" x14ac:dyDescent="0.25">
      <c r="A234" t="s">
        <v>370</v>
      </c>
      <c r="B234" s="3">
        <v>1744</v>
      </c>
      <c r="C234" s="3">
        <v>8</v>
      </c>
      <c r="D234" t="s">
        <v>91</v>
      </c>
      <c r="E234" t="s">
        <v>376</v>
      </c>
      <c r="F234" t="s">
        <v>377</v>
      </c>
      <c r="G234" s="3">
        <v>6</v>
      </c>
      <c r="H234" s="4">
        <v>0.91027219552808092</v>
      </c>
      <c r="I234" s="4">
        <v>1</v>
      </c>
      <c r="J234" s="3">
        <v>0</v>
      </c>
      <c r="K234" t="s">
        <v>68</v>
      </c>
      <c r="M234" t="s">
        <v>370</v>
      </c>
      <c r="N234">
        <v>1741</v>
      </c>
      <c r="O234">
        <v>8</v>
      </c>
      <c r="P234" t="s">
        <v>91</v>
      </c>
      <c r="Q234" t="s">
        <v>376</v>
      </c>
      <c r="R234" t="s">
        <v>378</v>
      </c>
      <c r="S234">
        <v>6</v>
      </c>
      <c r="T234">
        <v>0.90908245723727676</v>
      </c>
      <c r="U234">
        <v>1</v>
      </c>
      <c r="V234">
        <v>0</v>
      </c>
      <c r="W234" t="s">
        <v>68</v>
      </c>
      <c r="Y234" t="b">
        <f t="shared" si="4"/>
        <v>1</v>
      </c>
    </row>
    <row r="235" spans="1:25" x14ac:dyDescent="0.25">
      <c r="A235" t="s">
        <v>370</v>
      </c>
      <c r="B235" s="3">
        <v>1744</v>
      </c>
      <c r="C235" s="3">
        <v>9</v>
      </c>
      <c r="D235" t="s">
        <v>91</v>
      </c>
      <c r="E235" t="s">
        <v>379</v>
      </c>
      <c r="F235" t="s">
        <v>380</v>
      </c>
      <c r="G235" s="3">
        <v>7</v>
      </c>
      <c r="H235" s="4">
        <v>0.89554406933597253</v>
      </c>
      <c r="I235" s="4">
        <v>1</v>
      </c>
      <c r="J235" s="3">
        <v>0</v>
      </c>
      <c r="K235" t="s">
        <v>68</v>
      </c>
      <c r="M235" t="s">
        <v>370</v>
      </c>
      <c r="N235">
        <v>1741</v>
      </c>
      <c r="O235">
        <v>9</v>
      </c>
      <c r="P235" t="s">
        <v>91</v>
      </c>
      <c r="Q235" t="s">
        <v>379</v>
      </c>
      <c r="R235" t="s">
        <v>380</v>
      </c>
      <c r="S235">
        <v>7</v>
      </c>
      <c r="T235">
        <v>0.89437300938264608</v>
      </c>
      <c r="U235">
        <v>1</v>
      </c>
      <c r="V235">
        <v>0</v>
      </c>
      <c r="W235" t="s">
        <v>68</v>
      </c>
      <c r="Y235" t="b">
        <f t="shared" si="4"/>
        <v>1</v>
      </c>
    </row>
    <row r="236" spans="1:25" x14ac:dyDescent="0.25">
      <c r="A236" t="s">
        <v>370</v>
      </c>
      <c r="B236" s="3">
        <v>1744</v>
      </c>
      <c r="C236" s="3">
        <v>10</v>
      </c>
      <c r="D236" t="s">
        <v>91</v>
      </c>
      <c r="E236" t="s">
        <v>99</v>
      </c>
      <c r="F236" t="s">
        <v>101</v>
      </c>
      <c r="G236" s="3">
        <v>8</v>
      </c>
      <c r="H236" s="4">
        <v>0.36042746167106388</v>
      </c>
      <c r="I236" s="4">
        <v>1</v>
      </c>
      <c r="J236" s="3">
        <v>0</v>
      </c>
      <c r="K236" t="s">
        <v>68</v>
      </c>
      <c r="M236" t="s">
        <v>370</v>
      </c>
      <c r="N236">
        <v>1741</v>
      </c>
      <c r="O236">
        <v>10</v>
      </c>
      <c r="P236" t="s">
        <v>91</v>
      </c>
      <c r="Q236" t="s">
        <v>99</v>
      </c>
      <c r="R236" t="s">
        <v>381</v>
      </c>
      <c r="S236">
        <v>8</v>
      </c>
      <c r="T236">
        <v>0.35956116129090337</v>
      </c>
      <c r="U236">
        <v>1</v>
      </c>
      <c r="V236">
        <v>0</v>
      </c>
      <c r="W236" t="s">
        <v>68</v>
      </c>
      <c r="Y236" t="b">
        <f t="shared" si="4"/>
        <v>1</v>
      </c>
    </row>
    <row r="237" spans="1:25" x14ac:dyDescent="0.25">
      <c r="A237" t="s">
        <v>370</v>
      </c>
      <c r="B237" s="3">
        <v>1744</v>
      </c>
      <c r="C237" s="3">
        <v>11</v>
      </c>
      <c r="D237" t="s">
        <v>91</v>
      </c>
      <c r="E237" t="s">
        <v>143</v>
      </c>
      <c r="F237" t="s">
        <v>144</v>
      </c>
      <c r="J237" s="3">
        <v>1</v>
      </c>
      <c r="K237" t="s">
        <v>68</v>
      </c>
      <c r="M237" t="s">
        <v>370</v>
      </c>
      <c r="N237">
        <v>1741</v>
      </c>
      <c r="O237">
        <v>11</v>
      </c>
      <c r="P237" t="s">
        <v>91</v>
      </c>
      <c r="Q237" t="s">
        <v>143</v>
      </c>
      <c r="R237" t="s">
        <v>145</v>
      </c>
      <c r="V237">
        <v>1</v>
      </c>
      <c r="W237" t="s">
        <v>68</v>
      </c>
      <c r="Y237" t="b">
        <f t="shared" si="4"/>
        <v>1</v>
      </c>
    </row>
    <row r="238" spans="1:25" x14ac:dyDescent="0.25">
      <c r="A238" t="s">
        <v>370</v>
      </c>
      <c r="B238" s="3">
        <v>1744</v>
      </c>
      <c r="C238" s="3">
        <v>12</v>
      </c>
      <c r="D238" t="s">
        <v>91</v>
      </c>
      <c r="E238" t="s">
        <v>168</v>
      </c>
      <c r="F238" t="s">
        <v>169</v>
      </c>
      <c r="J238" s="3">
        <v>1</v>
      </c>
      <c r="K238" t="s">
        <v>68</v>
      </c>
      <c r="M238" t="s">
        <v>370</v>
      </c>
      <c r="N238">
        <v>1741</v>
      </c>
      <c r="O238">
        <v>12</v>
      </c>
      <c r="P238" t="s">
        <v>91</v>
      </c>
      <c r="Q238" t="s">
        <v>168</v>
      </c>
      <c r="R238" t="s">
        <v>169</v>
      </c>
      <c r="V238">
        <v>1</v>
      </c>
      <c r="W238" t="s">
        <v>68</v>
      </c>
      <c r="Y238" t="b">
        <f t="shared" si="4"/>
        <v>1</v>
      </c>
    </row>
    <row r="241" spans="1:25" ht="15.75" x14ac:dyDescent="0.3">
      <c r="A241" s="12" t="s">
        <v>382</v>
      </c>
      <c r="M241" s="12" t="s">
        <v>382</v>
      </c>
    </row>
    <row r="242" spans="1:25" ht="30.75" thickBot="1" x14ac:dyDescent="0.3">
      <c r="A242" s="2" t="s">
        <v>80</v>
      </c>
      <c r="B242" s="2" t="s">
        <v>13</v>
      </c>
      <c r="C242" s="2" t="s">
        <v>81</v>
      </c>
      <c r="D242" s="2" t="s">
        <v>82</v>
      </c>
      <c r="E242" s="2" t="s">
        <v>83</v>
      </c>
      <c r="F242" s="2" t="s">
        <v>84</v>
      </c>
      <c r="G242" s="2" t="s">
        <v>85</v>
      </c>
      <c r="H242" s="2" t="s">
        <v>86</v>
      </c>
      <c r="I242" s="2" t="s">
        <v>87</v>
      </c>
      <c r="J242" s="2" t="s">
        <v>88</v>
      </c>
      <c r="K242" s="2" t="s">
        <v>89</v>
      </c>
      <c r="M242" s="2" t="s">
        <v>80</v>
      </c>
      <c r="N242" s="2" t="s">
        <v>13</v>
      </c>
      <c r="O242" s="2" t="s">
        <v>81</v>
      </c>
      <c r="P242" s="2" t="s">
        <v>82</v>
      </c>
      <c r="Q242" s="2" t="s">
        <v>83</v>
      </c>
      <c r="R242" s="2" t="s">
        <v>84</v>
      </c>
      <c r="S242" s="2" t="s">
        <v>85</v>
      </c>
      <c r="T242" s="2" t="s">
        <v>86</v>
      </c>
      <c r="U242" s="2" t="s">
        <v>87</v>
      </c>
      <c r="V242" s="2" t="s">
        <v>88</v>
      </c>
      <c r="W242" s="2" t="s">
        <v>89</v>
      </c>
    </row>
    <row r="243" spans="1:25" x14ac:dyDescent="0.25">
      <c r="A243" t="s">
        <v>383</v>
      </c>
      <c r="B243" s="3">
        <v>1744</v>
      </c>
      <c r="C243" s="3">
        <v>1</v>
      </c>
      <c r="J243" s="3">
        <v>0</v>
      </c>
      <c r="K243" t="s">
        <v>68</v>
      </c>
      <c r="M243" t="s">
        <v>383</v>
      </c>
      <c r="N243">
        <v>1744</v>
      </c>
      <c r="O243">
        <v>1</v>
      </c>
      <c r="V243">
        <v>0</v>
      </c>
      <c r="W243" t="s">
        <v>68</v>
      </c>
      <c r="Y243" t="b">
        <f t="shared" si="4"/>
        <v>1</v>
      </c>
    </row>
    <row r="244" spans="1:25" x14ac:dyDescent="0.25">
      <c r="A244" t="s">
        <v>383</v>
      </c>
      <c r="B244" s="3">
        <v>1744</v>
      </c>
      <c r="C244" s="3">
        <v>2</v>
      </c>
      <c r="J244" s="3">
        <v>0</v>
      </c>
      <c r="K244" t="s">
        <v>68</v>
      </c>
      <c r="M244" t="s">
        <v>383</v>
      </c>
      <c r="N244">
        <v>1744</v>
      </c>
      <c r="O244">
        <v>2</v>
      </c>
      <c r="V244">
        <v>0</v>
      </c>
      <c r="W244" t="s">
        <v>68</v>
      </c>
      <c r="Y244" t="b">
        <f t="shared" si="4"/>
        <v>1</v>
      </c>
    </row>
    <row r="245" spans="1:25" x14ac:dyDescent="0.25">
      <c r="A245" t="s">
        <v>383</v>
      </c>
      <c r="B245" s="3">
        <v>1744</v>
      </c>
      <c r="C245" s="3">
        <v>3</v>
      </c>
      <c r="D245" t="s">
        <v>91</v>
      </c>
      <c r="E245" t="s">
        <v>138</v>
      </c>
      <c r="F245" t="s">
        <v>139</v>
      </c>
      <c r="G245" s="3">
        <v>1</v>
      </c>
      <c r="H245" s="4">
        <v>2.3157100457093169</v>
      </c>
      <c r="I245" s="4">
        <v>3</v>
      </c>
      <c r="J245" s="3">
        <v>0</v>
      </c>
      <c r="K245" t="s">
        <v>68</v>
      </c>
      <c r="M245" t="s">
        <v>383</v>
      </c>
      <c r="N245">
        <v>1744</v>
      </c>
      <c r="O245">
        <v>3</v>
      </c>
      <c r="P245" t="s">
        <v>91</v>
      </c>
      <c r="Q245" t="s">
        <v>138</v>
      </c>
      <c r="R245" t="s">
        <v>139</v>
      </c>
      <c r="S245">
        <v>1</v>
      </c>
      <c r="T245">
        <v>2.3127170322183441</v>
      </c>
      <c r="U245">
        <v>3</v>
      </c>
      <c r="V245">
        <v>0</v>
      </c>
      <c r="W245" t="s">
        <v>68</v>
      </c>
      <c r="Y245" t="b">
        <f t="shared" si="4"/>
        <v>1</v>
      </c>
    </row>
    <row r="246" spans="1:25" x14ac:dyDescent="0.25">
      <c r="A246" t="s">
        <v>383</v>
      </c>
      <c r="B246" s="3">
        <v>1744</v>
      </c>
      <c r="C246" s="3">
        <v>4</v>
      </c>
      <c r="D246" t="s">
        <v>91</v>
      </c>
      <c r="E246" t="s">
        <v>384</v>
      </c>
      <c r="F246" t="s">
        <v>385</v>
      </c>
      <c r="G246" s="3">
        <v>2</v>
      </c>
      <c r="H246" s="4">
        <v>2.2469149225611038</v>
      </c>
      <c r="I246" s="4">
        <v>2</v>
      </c>
      <c r="J246" s="3">
        <v>0</v>
      </c>
      <c r="K246" t="s">
        <v>68</v>
      </c>
      <c r="M246" t="s">
        <v>383</v>
      </c>
      <c r="N246">
        <v>1744</v>
      </c>
      <c r="O246">
        <v>4</v>
      </c>
      <c r="P246" t="s">
        <v>91</v>
      </c>
      <c r="Q246" t="s">
        <v>384</v>
      </c>
      <c r="R246" t="s">
        <v>385</v>
      </c>
      <c r="S246">
        <v>2</v>
      </c>
      <c r="T246">
        <v>2.2438407666210538</v>
      </c>
      <c r="U246">
        <v>2</v>
      </c>
      <c r="V246">
        <v>0</v>
      </c>
      <c r="W246" t="s">
        <v>68</v>
      </c>
      <c r="Y246" t="b">
        <f t="shared" si="4"/>
        <v>1</v>
      </c>
    </row>
    <row r="247" spans="1:25" x14ac:dyDescent="0.25">
      <c r="A247" t="s">
        <v>383</v>
      </c>
      <c r="B247" s="3">
        <v>1744</v>
      </c>
      <c r="C247" s="3">
        <v>5</v>
      </c>
      <c r="D247" t="s">
        <v>91</v>
      </c>
      <c r="E247" t="s">
        <v>172</v>
      </c>
      <c r="F247" t="s">
        <v>173</v>
      </c>
      <c r="G247" s="3">
        <v>3</v>
      </c>
      <c r="H247" s="4">
        <v>1.65556659124802</v>
      </c>
      <c r="I247" s="4">
        <v>2</v>
      </c>
      <c r="J247" s="3">
        <v>0</v>
      </c>
      <c r="K247" t="s">
        <v>68</v>
      </c>
      <c r="M247" t="s">
        <v>383</v>
      </c>
      <c r="N247">
        <v>1744</v>
      </c>
      <c r="O247">
        <v>5</v>
      </c>
      <c r="P247" t="s">
        <v>91</v>
      </c>
      <c r="Q247" t="s">
        <v>172</v>
      </c>
      <c r="R247" t="s">
        <v>174</v>
      </c>
      <c r="S247">
        <v>3</v>
      </c>
      <c r="T247">
        <v>1.6533831539150581</v>
      </c>
      <c r="U247">
        <v>2</v>
      </c>
      <c r="V247">
        <v>0</v>
      </c>
      <c r="W247" t="s">
        <v>68</v>
      </c>
      <c r="Y247" t="b">
        <f t="shared" si="4"/>
        <v>1</v>
      </c>
    </row>
    <row r="248" spans="1:25" x14ac:dyDescent="0.25">
      <c r="A248" t="s">
        <v>383</v>
      </c>
      <c r="B248" s="3">
        <v>1744</v>
      </c>
      <c r="C248" s="3">
        <v>6</v>
      </c>
      <c r="D248" t="s">
        <v>91</v>
      </c>
      <c r="E248" t="s">
        <v>276</v>
      </c>
      <c r="F248" t="s">
        <v>287</v>
      </c>
      <c r="G248" s="3">
        <v>4</v>
      </c>
      <c r="H248" s="4">
        <v>1.221437484275594</v>
      </c>
      <c r="I248" s="4">
        <v>1</v>
      </c>
      <c r="J248" s="3">
        <v>0</v>
      </c>
      <c r="K248" t="s">
        <v>68</v>
      </c>
      <c r="M248" t="s">
        <v>383</v>
      </c>
      <c r="N248">
        <v>1744</v>
      </c>
      <c r="O248">
        <v>6</v>
      </c>
      <c r="P248" t="s">
        <v>91</v>
      </c>
      <c r="Q248" t="s">
        <v>276</v>
      </c>
      <c r="R248" t="s">
        <v>277</v>
      </c>
      <c r="S248">
        <v>4</v>
      </c>
      <c r="T248">
        <v>1.219807591986257</v>
      </c>
      <c r="U248">
        <v>1</v>
      </c>
      <c r="V248">
        <v>0</v>
      </c>
      <c r="W248" t="s">
        <v>68</v>
      </c>
      <c r="Y248" t="b">
        <f t="shared" si="4"/>
        <v>1</v>
      </c>
    </row>
    <row r="249" spans="1:25" x14ac:dyDescent="0.25">
      <c r="A249" t="s">
        <v>383</v>
      </c>
      <c r="B249" s="3">
        <v>1744</v>
      </c>
      <c r="C249" s="3">
        <v>7</v>
      </c>
      <c r="D249" t="s">
        <v>91</v>
      </c>
      <c r="E249" t="s">
        <v>268</v>
      </c>
      <c r="F249" t="s">
        <v>270</v>
      </c>
      <c r="G249" s="3">
        <v>5</v>
      </c>
      <c r="H249" s="4">
        <v>1.1645385531497521</v>
      </c>
      <c r="I249" s="4">
        <v>1</v>
      </c>
      <c r="J249" s="3">
        <v>0</v>
      </c>
      <c r="K249" t="s">
        <v>68</v>
      </c>
      <c r="M249" t="s">
        <v>383</v>
      </c>
      <c r="N249">
        <v>1744</v>
      </c>
      <c r="O249">
        <v>7</v>
      </c>
      <c r="P249" t="s">
        <v>91</v>
      </c>
      <c r="Q249" t="s">
        <v>268</v>
      </c>
      <c r="R249" t="s">
        <v>269</v>
      </c>
      <c r="S249">
        <v>5</v>
      </c>
      <c r="T249">
        <v>1.163152550672079</v>
      </c>
      <c r="U249">
        <v>1</v>
      </c>
      <c r="V249">
        <v>0</v>
      </c>
      <c r="W249" t="s">
        <v>68</v>
      </c>
      <c r="Y249" t="b">
        <f t="shared" si="4"/>
        <v>1</v>
      </c>
    </row>
    <row r="250" spans="1:25" x14ac:dyDescent="0.25">
      <c r="A250" t="s">
        <v>383</v>
      </c>
      <c r="B250" s="3">
        <v>1744</v>
      </c>
      <c r="C250" s="3">
        <v>8</v>
      </c>
      <c r="D250" t="s">
        <v>91</v>
      </c>
      <c r="E250" t="s">
        <v>296</v>
      </c>
      <c r="F250" t="s">
        <v>297</v>
      </c>
      <c r="G250" s="3">
        <v>6</v>
      </c>
      <c r="H250" s="4">
        <v>0.8164202355134379</v>
      </c>
      <c r="I250" s="4">
        <v>1</v>
      </c>
      <c r="J250" s="3">
        <v>0</v>
      </c>
      <c r="K250" t="s">
        <v>68</v>
      </c>
      <c r="M250" t="s">
        <v>383</v>
      </c>
      <c r="N250">
        <v>1744</v>
      </c>
      <c r="O250">
        <v>8</v>
      </c>
      <c r="P250" t="s">
        <v>91</v>
      </c>
      <c r="Q250" t="s">
        <v>296</v>
      </c>
      <c r="R250" t="s">
        <v>386</v>
      </c>
      <c r="S250">
        <v>6</v>
      </c>
      <c r="T250">
        <v>0.81534544724454749</v>
      </c>
      <c r="U250">
        <v>1</v>
      </c>
      <c r="V250">
        <v>0</v>
      </c>
      <c r="W250" t="s">
        <v>68</v>
      </c>
      <c r="Y250" t="b">
        <f t="shared" si="4"/>
        <v>1</v>
      </c>
    </row>
    <row r="251" spans="1:25" x14ac:dyDescent="0.25">
      <c r="A251" t="s">
        <v>383</v>
      </c>
      <c r="B251" s="3">
        <v>1744</v>
      </c>
      <c r="C251" s="3">
        <v>9</v>
      </c>
      <c r="D251" t="s">
        <v>91</v>
      </c>
      <c r="E251" t="s">
        <v>367</v>
      </c>
      <c r="F251" t="s">
        <v>387</v>
      </c>
      <c r="G251" s="3">
        <v>7</v>
      </c>
      <c r="H251" s="4">
        <v>0.16712671926805861</v>
      </c>
      <c r="I251" s="4">
        <v>1</v>
      </c>
      <c r="J251" s="3">
        <v>0</v>
      </c>
      <c r="K251" t="s">
        <v>68</v>
      </c>
      <c r="M251" t="s">
        <v>383</v>
      </c>
      <c r="N251">
        <v>1744</v>
      </c>
      <c r="O251">
        <v>9</v>
      </c>
      <c r="P251" t="s">
        <v>91</v>
      </c>
      <c r="Q251" t="s">
        <v>367</v>
      </c>
      <c r="R251" t="s">
        <v>388</v>
      </c>
      <c r="S251">
        <v>7</v>
      </c>
      <c r="T251">
        <v>0.16606826453121601</v>
      </c>
      <c r="U251">
        <v>1</v>
      </c>
      <c r="V251">
        <v>0</v>
      </c>
      <c r="W251" t="s">
        <v>68</v>
      </c>
      <c r="Y251" t="b">
        <f t="shared" si="4"/>
        <v>1</v>
      </c>
    </row>
    <row r="252" spans="1:25" x14ac:dyDescent="0.25">
      <c r="A252" t="s">
        <v>383</v>
      </c>
      <c r="B252" s="3">
        <v>1744</v>
      </c>
      <c r="C252" s="3">
        <v>10</v>
      </c>
      <c r="D252" t="s">
        <v>91</v>
      </c>
      <c r="E252" t="s">
        <v>168</v>
      </c>
      <c r="F252" t="s">
        <v>169</v>
      </c>
      <c r="J252" s="3">
        <v>1</v>
      </c>
      <c r="K252" t="s">
        <v>68</v>
      </c>
      <c r="M252" t="s">
        <v>383</v>
      </c>
      <c r="N252">
        <v>1744</v>
      </c>
      <c r="O252">
        <v>10</v>
      </c>
      <c r="P252" t="s">
        <v>91</v>
      </c>
      <c r="Q252" t="s">
        <v>168</v>
      </c>
      <c r="R252" t="s">
        <v>169</v>
      </c>
      <c r="V252">
        <v>1</v>
      </c>
      <c r="W252" t="s">
        <v>68</v>
      </c>
      <c r="Y252" t="b">
        <f t="shared" si="4"/>
        <v>1</v>
      </c>
    </row>
    <row r="253" spans="1:25" x14ac:dyDescent="0.25">
      <c r="A253" t="s">
        <v>383</v>
      </c>
      <c r="B253" s="3">
        <v>1744</v>
      </c>
      <c r="C253" s="3">
        <v>11</v>
      </c>
      <c r="D253" t="s">
        <v>91</v>
      </c>
      <c r="E253" t="s">
        <v>389</v>
      </c>
      <c r="F253" t="s">
        <v>390</v>
      </c>
      <c r="J253" s="3">
        <v>1</v>
      </c>
      <c r="K253" t="s">
        <v>68</v>
      </c>
      <c r="M253" t="s">
        <v>383</v>
      </c>
      <c r="N253">
        <v>1744</v>
      </c>
      <c r="O253">
        <v>11</v>
      </c>
      <c r="P253" t="s">
        <v>91</v>
      </c>
      <c r="Q253" t="s">
        <v>389</v>
      </c>
      <c r="R253" t="s">
        <v>390</v>
      </c>
      <c r="V253">
        <v>1</v>
      </c>
      <c r="W253" t="s">
        <v>68</v>
      </c>
      <c r="Y253" t="b">
        <f t="shared" si="4"/>
        <v>1</v>
      </c>
    </row>
    <row r="254" spans="1:25" x14ac:dyDescent="0.25">
      <c r="A254" t="s">
        <v>383</v>
      </c>
      <c r="B254" s="3">
        <v>1744</v>
      </c>
      <c r="C254" s="3">
        <v>12</v>
      </c>
      <c r="D254" t="s">
        <v>91</v>
      </c>
      <c r="E254" t="s">
        <v>391</v>
      </c>
      <c r="F254" t="s">
        <v>392</v>
      </c>
      <c r="J254" s="3">
        <v>1</v>
      </c>
      <c r="K254" t="s">
        <v>68</v>
      </c>
      <c r="M254" t="s">
        <v>383</v>
      </c>
      <c r="N254">
        <v>1744</v>
      </c>
      <c r="O254">
        <v>12</v>
      </c>
      <c r="P254" t="s">
        <v>91</v>
      </c>
      <c r="Q254" t="s">
        <v>391</v>
      </c>
      <c r="R254" t="s">
        <v>392</v>
      </c>
      <c r="V254">
        <v>1</v>
      </c>
      <c r="W254" t="s">
        <v>68</v>
      </c>
      <c r="Y254" t="b">
        <f t="shared" si="4"/>
        <v>1</v>
      </c>
    </row>
    <row r="257" spans="1:25" ht="15.75" x14ac:dyDescent="0.3">
      <c r="A257" s="12" t="s">
        <v>393</v>
      </c>
      <c r="M257" s="12" t="s">
        <v>393</v>
      </c>
    </row>
    <row r="258" spans="1:25" ht="30.75" thickBot="1" x14ac:dyDescent="0.3">
      <c r="A258" s="2" t="s">
        <v>80</v>
      </c>
      <c r="B258" s="2" t="s">
        <v>13</v>
      </c>
      <c r="C258" s="2" t="s">
        <v>81</v>
      </c>
      <c r="D258" s="2" t="s">
        <v>82</v>
      </c>
      <c r="E258" s="2" t="s">
        <v>83</v>
      </c>
      <c r="F258" s="2" t="s">
        <v>84</v>
      </c>
      <c r="G258" s="2" t="s">
        <v>85</v>
      </c>
      <c r="H258" s="2" t="s">
        <v>86</v>
      </c>
      <c r="I258" s="2" t="s">
        <v>87</v>
      </c>
      <c r="J258" s="2" t="s">
        <v>88</v>
      </c>
      <c r="K258" s="2" t="s">
        <v>89</v>
      </c>
      <c r="M258" s="2" t="s">
        <v>80</v>
      </c>
      <c r="N258" s="2" t="s">
        <v>13</v>
      </c>
      <c r="O258" s="2" t="s">
        <v>81</v>
      </c>
      <c r="P258" s="2" t="s">
        <v>82</v>
      </c>
      <c r="Q258" s="2" t="s">
        <v>83</v>
      </c>
      <c r="R258" s="2" t="s">
        <v>84</v>
      </c>
      <c r="S258" s="2" t="s">
        <v>85</v>
      </c>
      <c r="T258" s="2" t="s">
        <v>86</v>
      </c>
      <c r="U258" s="2" t="s">
        <v>87</v>
      </c>
      <c r="V258" s="2" t="s">
        <v>88</v>
      </c>
      <c r="W258" s="2" t="s">
        <v>89</v>
      </c>
    </row>
    <row r="259" spans="1:25" x14ac:dyDescent="0.25">
      <c r="A259" t="s">
        <v>394</v>
      </c>
      <c r="B259" s="3">
        <v>1744</v>
      </c>
      <c r="C259" s="3">
        <v>1</v>
      </c>
      <c r="J259" s="3">
        <v>0</v>
      </c>
      <c r="K259" t="s">
        <v>68</v>
      </c>
      <c r="M259" t="s">
        <v>394</v>
      </c>
      <c r="N259">
        <v>1744</v>
      </c>
      <c r="O259">
        <v>1</v>
      </c>
      <c r="V259">
        <v>0</v>
      </c>
      <c r="W259" t="s">
        <v>68</v>
      </c>
      <c r="Y259" t="b">
        <f t="shared" si="4"/>
        <v>1</v>
      </c>
    </row>
    <row r="260" spans="1:25" x14ac:dyDescent="0.25">
      <c r="A260" t="s">
        <v>394</v>
      </c>
      <c r="B260" s="3">
        <v>1744</v>
      </c>
      <c r="C260" s="3">
        <v>2</v>
      </c>
      <c r="J260" s="3">
        <v>0</v>
      </c>
      <c r="K260" t="s">
        <v>68</v>
      </c>
      <c r="M260" t="s">
        <v>394</v>
      </c>
      <c r="N260">
        <v>1744</v>
      </c>
      <c r="O260">
        <v>2</v>
      </c>
      <c r="V260">
        <v>0</v>
      </c>
      <c r="W260" t="s">
        <v>68</v>
      </c>
      <c r="Y260" t="b">
        <f t="shared" ref="Y260:Y323" si="5">E260=Q260</f>
        <v>1</v>
      </c>
    </row>
    <row r="261" spans="1:25" x14ac:dyDescent="0.25">
      <c r="A261" t="s">
        <v>394</v>
      </c>
      <c r="B261" s="3">
        <v>1744</v>
      </c>
      <c r="C261" s="3">
        <v>3</v>
      </c>
      <c r="D261" t="s">
        <v>91</v>
      </c>
      <c r="E261" t="s">
        <v>395</v>
      </c>
      <c r="F261" t="s">
        <v>396</v>
      </c>
      <c r="G261" s="3">
        <v>1</v>
      </c>
      <c r="H261" s="4">
        <v>8.0402285426071991</v>
      </c>
      <c r="I261" s="4">
        <v>7</v>
      </c>
      <c r="J261" s="3">
        <v>0</v>
      </c>
      <c r="K261" t="s">
        <v>68</v>
      </c>
      <c r="M261" t="s">
        <v>394</v>
      </c>
      <c r="N261">
        <v>1744</v>
      </c>
      <c r="O261">
        <v>3</v>
      </c>
      <c r="P261" t="s">
        <v>91</v>
      </c>
      <c r="Q261" t="s">
        <v>395</v>
      </c>
      <c r="R261" t="s">
        <v>396</v>
      </c>
      <c r="S261">
        <v>1</v>
      </c>
      <c r="T261">
        <v>8.0294109560467728</v>
      </c>
      <c r="U261">
        <v>7</v>
      </c>
      <c r="V261">
        <v>0</v>
      </c>
      <c r="W261" t="s">
        <v>68</v>
      </c>
      <c r="Y261" t="b">
        <f t="shared" si="5"/>
        <v>1</v>
      </c>
    </row>
    <row r="262" spans="1:25" x14ac:dyDescent="0.25">
      <c r="A262" t="s">
        <v>394</v>
      </c>
      <c r="B262" s="3">
        <v>1744</v>
      </c>
      <c r="C262" s="3">
        <v>4</v>
      </c>
      <c r="D262" t="s">
        <v>91</v>
      </c>
      <c r="E262" t="s">
        <v>397</v>
      </c>
      <c r="F262" t="s">
        <v>398</v>
      </c>
      <c r="G262" s="3">
        <v>2</v>
      </c>
      <c r="H262" s="4">
        <v>6.0596372425905214</v>
      </c>
      <c r="I262" s="4">
        <v>7</v>
      </c>
      <c r="J262" s="3">
        <v>0</v>
      </c>
      <c r="K262" t="s">
        <v>68</v>
      </c>
      <c r="M262" t="s">
        <v>394</v>
      </c>
      <c r="N262">
        <v>1744</v>
      </c>
      <c r="O262">
        <v>4</v>
      </c>
      <c r="P262" t="s">
        <v>91</v>
      </c>
      <c r="Q262" t="s">
        <v>397</v>
      </c>
      <c r="R262" t="s">
        <v>398</v>
      </c>
      <c r="S262">
        <v>2</v>
      </c>
      <c r="T262">
        <v>6.0516094280559072</v>
      </c>
      <c r="U262">
        <v>7</v>
      </c>
      <c r="V262">
        <v>0</v>
      </c>
      <c r="W262" t="s">
        <v>68</v>
      </c>
      <c r="Y262" t="b">
        <f t="shared" si="5"/>
        <v>1</v>
      </c>
    </row>
    <row r="263" spans="1:25" x14ac:dyDescent="0.25">
      <c r="A263" t="s">
        <v>394</v>
      </c>
      <c r="B263" s="3">
        <v>1744</v>
      </c>
      <c r="C263" s="3">
        <v>5</v>
      </c>
      <c r="D263" t="s">
        <v>91</v>
      </c>
      <c r="E263" t="s">
        <v>276</v>
      </c>
      <c r="F263" t="s">
        <v>287</v>
      </c>
      <c r="G263" s="3">
        <v>3</v>
      </c>
      <c r="H263" s="4">
        <v>2.4428749685511888</v>
      </c>
      <c r="I263" s="4">
        <v>2</v>
      </c>
      <c r="J263" s="3">
        <v>0</v>
      </c>
      <c r="K263" t="s">
        <v>68</v>
      </c>
      <c r="M263" t="s">
        <v>394</v>
      </c>
      <c r="N263">
        <v>1744</v>
      </c>
      <c r="O263">
        <v>5</v>
      </c>
      <c r="P263" t="s">
        <v>91</v>
      </c>
      <c r="Q263" t="s">
        <v>276</v>
      </c>
      <c r="R263" t="s">
        <v>287</v>
      </c>
      <c r="S263">
        <v>3</v>
      </c>
      <c r="T263">
        <v>2.4396151839725149</v>
      </c>
      <c r="U263">
        <v>2</v>
      </c>
      <c r="V263">
        <v>0</v>
      </c>
      <c r="W263" t="s">
        <v>68</v>
      </c>
      <c r="Y263" t="b">
        <f t="shared" si="5"/>
        <v>1</v>
      </c>
    </row>
    <row r="264" spans="1:25" x14ac:dyDescent="0.25">
      <c r="A264" t="s">
        <v>394</v>
      </c>
      <c r="B264" s="3">
        <v>1744</v>
      </c>
      <c r="C264" s="3">
        <v>6</v>
      </c>
      <c r="D264" t="s">
        <v>91</v>
      </c>
      <c r="E264" t="s">
        <v>355</v>
      </c>
      <c r="F264" t="s">
        <v>356</v>
      </c>
      <c r="G264" s="3">
        <v>4</v>
      </c>
      <c r="H264" s="4">
        <v>2.2151248643942689</v>
      </c>
      <c r="I264" s="4">
        <v>2</v>
      </c>
      <c r="J264" s="3">
        <v>0</v>
      </c>
      <c r="K264" t="s">
        <v>68</v>
      </c>
      <c r="M264" t="s">
        <v>394</v>
      </c>
      <c r="N264">
        <v>1744</v>
      </c>
      <c r="O264">
        <v>6</v>
      </c>
      <c r="P264" t="s">
        <v>91</v>
      </c>
      <c r="Q264" t="s">
        <v>355</v>
      </c>
      <c r="R264" t="s">
        <v>356</v>
      </c>
      <c r="S264">
        <v>4</v>
      </c>
      <c r="T264">
        <v>2.2122221345944202</v>
      </c>
      <c r="U264">
        <v>2</v>
      </c>
      <c r="V264">
        <v>0</v>
      </c>
      <c r="W264" t="s">
        <v>68</v>
      </c>
      <c r="Y264" t="b">
        <f t="shared" si="5"/>
        <v>1</v>
      </c>
    </row>
    <row r="265" spans="1:25" x14ac:dyDescent="0.25">
      <c r="A265" t="s">
        <v>394</v>
      </c>
      <c r="B265" s="3">
        <v>1744</v>
      </c>
      <c r="C265" s="3">
        <v>7</v>
      </c>
      <c r="D265" t="s">
        <v>91</v>
      </c>
      <c r="E265" t="s">
        <v>399</v>
      </c>
      <c r="F265" t="s">
        <v>400</v>
      </c>
      <c r="G265" s="3">
        <v>5</v>
      </c>
      <c r="H265" s="4">
        <v>1.964320163466754</v>
      </c>
      <c r="I265" s="4">
        <v>3</v>
      </c>
      <c r="J265" s="3">
        <v>0</v>
      </c>
      <c r="K265" t="s">
        <v>68</v>
      </c>
      <c r="M265" t="s">
        <v>394</v>
      </c>
      <c r="N265">
        <v>1744</v>
      </c>
      <c r="O265">
        <v>7</v>
      </c>
      <c r="P265" t="s">
        <v>91</v>
      </c>
      <c r="Q265" t="s">
        <v>399</v>
      </c>
      <c r="R265" t="s">
        <v>401</v>
      </c>
      <c r="S265">
        <v>5</v>
      </c>
      <c r="T265">
        <v>1.960947744790472</v>
      </c>
      <c r="U265">
        <v>3</v>
      </c>
      <c r="V265">
        <v>0</v>
      </c>
      <c r="W265" t="s">
        <v>68</v>
      </c>
      <c r="Y265" t="b">
        <f t="shared" si="5"/>
        <v>1</v>
      </c>
    </row>
    <row r="266" spans="1:25" x14ac:dyDescent="0.25">
      <c r="A266" t="s">
        <v>394</v>
      </c>
      <c r="B266" s="3">
        <v>1744</v>
      </c>
      <c r="C266" s="3">
        <v>8</v>
      </c>
      <c r="D266" t="s">
        <v>91</v>
      </c>
      <c r="E266" t="s">
        <v>402</v>
      </c>
      <c r="F266" t="s">
        <v>403</v>
      </c>
      <c r="G266" s="3">
        <v>6</v>
      </c>
      <c r="H266" s="4">
        <v>1.8854694721176219</v>
      </c>
      <c r="I266" s="4">
        <v>2</v>
      </c>
      <c r="J266" s="3">
        <v>0</v>
      </c>
      <c r="K266" t="s">
        <v>68</v>
      </c>
      <c r="M266" t="s">
        <v>394</v>
      </c>
      <c r="N266">
        <v>1744</v>
      </c>
      <c r="O266">
        <v>8</v>
      </c>
      <c r="P266" t="s">
        <v>91</v>
      </c>
      <c r="Q266" t="s">
        <v>402</v>
      </c>
      <c r="R266" t="s">
        <v>403</v>
      </c>
      <c r="S266">
        <v>6</v>
      </c>
      <c r="T266">
        <v>1.88301072642754</v>
      </c>
      <c r="U266">
        <v>2</v>
      </c>
      <c r="V266">
        <v>0</v>
      </c>
      <c r="W266" t="s">
        <v>68</v>
      </c>
      <c r="Y266" t="b">
        <f t="shared" si="5"/>
        <v>1</v>
      </c>
    </row>
    <row r="267" spans="1:25" x14ac:dyDescent="0.25">
      <c r="A267" t="s">
        <v>394</v>
      </c>
      <c r="B267" s="3">
        <v>1744</v>
      </c>
      <c r="C267" s="3">
        <v>9</v>
      </c>
      <c r="D267" t="s">
        <v>91</v>
      </c>
      <c r="E267" t="s">
        <v>278</v>
      </c>
      <c r="F267" t="s">
        <v>279</v>
      </c>
      <c r="G267" s="3">
        <v>7</v>
      </c>
      <c r="H267" s="4">
        <v>1.37616425406538</v>
      </c>
      <c r="I267" s="4">
        <v>1</v>
      </c>
      <c r="J267" s="3">
        <v>0</v>
      </c>
      <c r="K267" t="s">
        <v>68</v>
      </c>
      <c r="M267" t="s">
        <v>394</v>
      </c>
      <c r="N267">
        <v>1744</v>
      </c>
      <c r="O267">
        <v>9</v>
      </c>
      <c r="P267" t="s">
        <v>91</v>
      </c>
      <c r="Q267" t="s">
        <v>278</v>
      </c>
      <c r="R267" t="s">
        <v>279</v>
      </c>
      <c r="S267">
        <v>7</v>
      </c>
      <c r="T267">
        <v>1.374353528814054</v>
      </c>
      <c r="U267">
        <v>1</v>
      </c>
      <c r="V267">
        <v>0</v>
      </c>
      <c r="W267" t="s">
        <v>68</v>
      </c>
      <c r="Y267" t="b">
        <f t="shared" si="5"/>
        <v>1</v>
      </c>
    </row>
    <row r="268" spans="1:25" x14ac:dyDescent="0.25">
      <c r="A268" t="s">
        <v>394</v>
      </c>
      <c r="B268" s="3">
        <v>1744</v>
      </c>
      <c r="C268" s="3">
        <v>10</v>
      </c>
      <c r="D268" t="s">
        <v>91</v>
      </c>
      <c r="E268" t="s">
        <v>404</v>
      </c>
      <c r="F268" t="s">
        <v>405</v>
      </c>
      <c r="G268" s="3">
        <v>8</v>
      </c>
      <c r="H268" s="4">
        <v>1.322038466287506</v>
      </c>
      <c r="I268" s="4">
        <v>1</v>
      </c>
      <c r="J268" s="3">
        <v>0</v>
      </c>
      <c r="K268" t="s">
        <v>68</v>
      </c>
      <c r="M268" t="s">
        <v>394</v>
      </c>
      <c r="N268">
        <v>1744</v>
      </c>
      <c r="O268">
        <v>10</v>
      </c>
      <c r="P268" t="s">
        <v>91</v>
      </c>
      <c r="Q268" t="s">
        <v>404</v>
      </c>
      <c r="R268" t="s">
        <v>405</v>
      </c>
      <c r="S268">
        <v>8</v>
      </c>
      <c r="T268">
        <v>1.320232527330969</v>
      </c>
      <c r="U268">
        <v>1</v>
      </c>
      <c r="V268">
        <v>0</v>
      </c>
      <c r="W268" t="s">
        <v>68</v>
      </c>
      <c r="Y268" t="b">
        <f t="shared" si="5"/>
        <v>1</v>
      </c>
    </row>
    <row r="269" spans="1:25" x14ac:dyDescent="0.25">
      <c r="A269" t="s">
        <v>394</v>
      </c>
      <c r="B269" s="3">
        <v>1744</v>
      </c>
      <c r="C269" s="3">
        <v>11</v>
      </c>
      <c r="D269" t="s">
        <v>91</v>
      </c>
      <c r="E269" t="s">
        <v>102</v>
      </c>
      <c r="F269" t="s">
        <v>103</v>
      </c>
      <c r="G269" s="3">
        <v>9</v>
      </c>
      <c r="H269" s="4">
        <v>1.207396614071685</v>
      </c>
      <c r="I269" s="4">
        <v>1</v>
      </c>
      <c r="J269" s="3">
        <v>0</v>
      </c>
      <c r="K269" t="s">
        <v>68</v>
      </c>
      <c r="M269" t="s">
        <v>394</v>
      </c>
      <c r="N269">
        <v>1744</v>
      </c>
      <c r="O269">
        <v>11</v>
      </c>
      <c r="P269" t="s">
        <v>91</v>
      </c>
      <c r="Q269" t="s">
        <v>102</v>
      </c>
      <c r="R269" t="s">
        <v>103</v>
      </c>
      <c r="S269">
        <v>9</v>
      </c>
      <c r="T269">
        <v>1.205814281864195</v>
      </c>
      <c r="U269">
        <v>1</v>
      </c>
      <c r="V269">
        <v>0</v>
      </c>
      <c r="W269" t="s">
        <v>68</v>
      </c>
      <c r="Y269" t="b">
        <f t="shared" si="5"/>
        <v>1</v>
      </c>
    </row>
    <row r="270" spans="1:25" x14ac:dyDescent="0.25">
      <c r="A270" t="s">
        <v>394</v>
      </c>
      <c r="B270" s="3">
        <v>1744</v>
      </c>
      <c r="C270" s="3">
        <v>12</v>
      </c>
      <c r="D270" t="s">
        <v>91</v>
      </c>
      <c r="E270" t="s">
        <v>362</v>
      </c>
      <c r="F270" t="s">
        <v>406</v>
      </c>
      <c r="G270" s="3">
        <v>10</v>
      </c>
      <c r="H270" s="4">
        <v>1.203349142796051</v>
      </c>
      <c r="I270" s="4">
        <v>1</v>
      </c>
      <c r="J270" s="3">
        <v>0</v>
      </c>
      <c r="K270" t="s">
        <v>68</v>
      </c>
      <c r="M270" t="s">
        <v>394</v>
      </c>
      <c r="N270">
        <v>1744</v>
      </c>
      <c r="O270">
        <v>12</v>
      </c>
      <c r="P270" t="s">
        <v>91</v>
      </c>
      <c r="Q270" t="s">
        <v>362</v>
      </c>
      <c r="R270" t="s">
        <v>407</v>
      </c>
      <c r="S270">
        <v>10</v>
      </c>
      <c r="T270">
        <v>1.20188846936756</v>
      </c>
      <c r="U270">
        <v>1</v>
      </c>
      <c r="V270">
        <v>0</v>
      </c>
      <c r="W270" t="s">
        <v>68</v>
      </c>
      <c r="Y270" t="b">
        <f t="shared" si="5"/>
        <v>1</v>
      </c>
    </row>
    <row r="273" spans="1:25" ht="15.75" x14ac:dyDescent="0.3">
      <c r="A273" s="12" t="s">
        <v>408</v>
      </c>
      <c r="M273" s="12" t="s">
        <v>408</v>
      </c>
    </row>
    <row r="274" spans="1:25" ht="30.75" thickBot="1" x14ac:dyDescent="0.3">
      <c r="A274" s="2" t="s">
        <v>80</v>
      </c>
      <c r="B274" s="2" t="s">
        <v>13</v>
      </c>
      <c r="C274" s="2" t="s">
        <v>81</v>
      </c>
      <c r="D274" s="2" t="s">
        <v>82</v>
      </c>
      <c r="E274" s="2" t="s">
        <v>83</v>
      </c>
      <c r="F274" s="2" t="s">
        <v>84</v>
      </c>
      <c r="G274" s="2" t="s">
        <v>85</v>
      </c>
      <c r="H274" s="2" t="s">
        <v>86</v>
      </c>
      <c r="I274" s="2" t="s">
        <v>87</v>
      </c>
      <c r="J274" s="2" t="s">
        <v>88</v>
      </c>
      <c r="K274" s="2" t="s">
        <v>89</v>
      </c>
      <c r="M274" s="2" t="s">
        <v>80</v>
      </c>
      <c r="N274" s="2" t="s">
        <v>13</v>
      </c>
      <c r="O274" s="2" t="s">
        <v>81</v>
      </c>
      <c r="P274" s="2" t="s">
        <v>82</v>
      </c>
      <c r="Q274" s="2" t="s">
        <v>83</v>
      </c>
      <c r="R274" s="2" t="s">
        <v>84</v>
      </c>
      <c r="S274" s="2" t="s">
        <v>85</v>
      </c>
      <c r="T274" s="2" t="s">
        <v>86</v>
      </c>
      <c r="U274" s="2" t="s">
        <v>87</v>
      </c>
      <c r="V274" s="2" t="s">
        <v>88</v>
      </c>
      <c r="W274" s="2" t="s">
        <v>89</v>
      </c>
    </row>
    <row r="275" spans="1:25" x14ac:dyDescent="0.25">
      <c r="A275" t="s">
        <v>409</v>
      </c>
      <c r="B275" s="3">
        <v>1744</v>
      </c>
      <c r="C275" s="3">
        <v>1</v>
      </c>
      <c r="J275" s="3">
        <v>0</v>
      </c>
      <c r="K275" t="s">
        <v>68</v>
      </c>
      <c r="M275" t="s">
        <v>409</v>
      </c>
      <c r="N275">
        <v>1744</v>
      </c>
      <c r="O275">
        <v>1</v>
      </c>
      <c r="V275">
        <v>0</v>
      </c>
      <c r="W275" t="s">
        <v>68</v>
      </c>
      <c r="Y275" t="b">
        <f t="shared" si="5"/>
        <v>1</v>
      </c>
    </row>
    <row r="276" spans="1:25" x14ac:dyDescent="0.25">
      <c r="A276" t="s">
        <v>409</v>
      </c>
      <c r="B276" s="3">
        <v>1744</v>
      </c>
      <c r="C276" s="3">
        <v>2</v>
      </c>
      <c r="J276" s="3">
        <v>0</v>
      </c>
      <c r="K276" t="s">
        <v>68</v>
      </c>
      <c r="M276" t="s">
        <v>409</v>
      </c>
      <c r="N276">
        <v>1744</v>
      </c>
      <c r="O276">
        <v>2</v>
      </c>
      <c r="V276">
        <v>0</v>
      </c>
      <c r="W276" t="s">
        <v>68</v>
      </c>
      <c r="Y276" t="b">
        <f t="shared" si="5"/>
        <v>1</v>
      </c>
    </row>
    <row r="277" spans="1:25" x14ac:dyDescent="0.25">
      <c r="A277" t="s">
        <v>409</v>
      </c>
      <c r="B277" s="3">
        <v>1744</v>
      </c>
      <c r="C277" s="3">
        <v>3</v>
      </c>
      <c r="D277" t="s">
        <v>91</v>
      </c>
      <c r="E277" t="s">
        <v>92</v>
      </c>
      <c r="F277" t="s">
        <v>93</v>
      </c>
      <c r="G277" s="3">
        <v>1</v>
      </c>
      <c r="H277" s="4">
        <v>27.618941434246739</v>
      </c>
      <c r="I277" s="4">
        <v>20</v>
      </c>
      <c r="J277" s="3">
        <v>0</v>
      </c>
      <c r="K277" t="s">
        <v>68</v>
      </c>
      <c r="M277" t="s">
        <v>409</v>
      </c>
      <c r="N277">
        <v>1744</v>
      </c>
      <c r="O277">
        <v>3</v>
      </c>
      <c r="P277" t="s">
        <v>91</v>
      </c>
      <c r="Q277" t="s">
        <v>92</v>
      </c>
      <c r="R277" t="s">
        <v>93</v>
      </c>
      <c r="S277">
        <v>1</v>
      </c>
      <c r="T277">
        <v>27.581722299626779</v>
      </c>
      <c r="U277">
        <v>20</v>
      </c>
      <c r="V277">
        <v>0</v>
      </c>
      <c r="W277" t="s">
        <v>68</v>
      </c>
      <c r="Y277" t="b">
        <f t="shared" si="5"/>
        <v>1</v>
      </c>
    </row>
    <row r="278" spans="1:25" x14ac:dyDescent="0.25">
      <c r="A278" t="s">
        <v>409</v>
      </c>
      <c r="B278" s="3">
        <v>1744</v>
      </c>
      <c r="C278" s="3">
        <v>4</v>
      </c>
      <c r="D278" t="s">
        <v>91</v>
      </c>
      <c r="E278" t="s">
        <v>362</v>
      </c>
      <c r="F278" t="s">
        <v>406</v>
      </c>
      <c r="G278" s="3">
        <v>2</v>
      </c>
      <c r="H278" s="4">
        <v>11.078416935377749</v>
      </c>
      <c r="I278" s="4">
        <v>13</v>
      </c>
      <c r="J278" s="3">
        <v>0</v>
      </c>
      <c r="K278" t="s">
        <v>68</v>
      </c>
      <c r="M278" t="s">
        <v>409</v>
      </c>
      <c r="N278">
        <v>1744</v>
      </c>
      <c r="O278">
        <v>4</v>
      </c>
      <c r="P278" t="s">
        <v>91</v>
      </c>
      <c r="Q278" t="s">
        <v>362</v>
      </c>
      <c r="R278" t="s">
        <v>406</v>
      </c>
      <c r="S278">
        <v>2</v>
      </c>
      <c r="T278">
        <v>11.062257538028989</v>
      </c>
      <c r="U278">
        <v>13</v>
      </c>
      <c r="V278">
        <v>0</v>
      </c>
      <c r="W278" t="s">
        <v>68</v>
      </c>
      <c r="Y278" t="b">
        <f t="shared" si="5"/>
        <v>1</v>
      </c>
    </row>
    <row r="279" spans="1:25" x14ac:dyDescent="0.25">
      <c r="A279" t="s">
        <v>409</v>
      </c>
      <c r="B279" s="3">
        <v>1744</v>
      </c>
      <c r="C279" s="3">
        <v>5</v>
      </c>
      <c r="D279" t="s">
        <v>91</v>
      </c>
      <c r="E279" t="s">
        <v>410</v>
      </c>
      <c r="F279" t="s">
        <v>411</v>
      </c>
      <c r="G279" s="3">
        <v>3</v>
      </c>
      <c r="H279" s="4">
        <v>10.96925855330316</v>
      </c>
      <c r="I279" s="4">
        <v>8</v>
      </c>
      <c r="J279" s="3">
        <v>0</v>
      </c>
      <c r="K279" t="s">
        <v>68</v>
      </c>
      <c r="M279" t="s">
        <v>409</v>
      </c>
      <c r="N279">
        <v>1744</v>
      </c>
      <c r="O279">
        <v>5</v>
      </c>
      <c r="P279" t="s">
        <v>91</v>
      </c>
      <c r="Q279" t="s">
        <v>410</v>
      </c>
      <c r="R279" t="s">
        <v>411</v>
      </c>
      <c r="S279">
        <v>3</v>
      </c>
      <c r="T279">
        <v>10.954836798988911</v>
      </c>
      <c r="U279">
        <v>8</v>
      </c>
      <c r="V279">
        <v>0</v>
      </c>
      <c r="W279" t="s">
        <v>68</v>
      </c>
      <c r="Y279" t="b">
        <f t="shared" si="5"/>
        <v>1</v>
      </c>
    </row>
    <row r="280" spans="1:25" x14ac:dyDescent="0.25">
      <c r="A280" t="s">
        <v>409</v>
      </c>
      <c r="B280" s="3">
        <v>1744</v>
      </c>
      <c r="C280" s="3">
        <v>6</v>
      </c>
      <c r="D280" t="s">
        <v>91</v>
      </c>
      <c r="E280" t="s">
        <v>412</v>
      </c>
      <c r="F280" t="s">
        <v>413</v>
      </c>
      <c r="G280" s="3">
        <v>4</v>
      </c>
      <c r="H280" s="4">
        <v>5</v>
      </c>
      <c r="I280" s="4">
        <v>5</v>
      </c>
      <c r="J280" s="3">
        <v>0</v>
      </c>
      <c r="K280" t="s">
        <v>68</v>
      </c>
      <c r="M280" t="s">
        <v>409</v>
      </c>
      <c r="N280">
        <v>1744</v>
      </c>
      <c r="O280">
        <v>6</v>
      </c>
      <c r="P280" t="s">
        <v>91</v>
      </c>
      <c r="Q280" t="s">
        <v>412</v>
      </c>
      <c r="R280" t="s">
        <v>413</v>
      </c>
      <c r="S280">
        <v>4</v>
      </c>
      <c r="T280">
        <v>5</v>
      </c>
      <c r="U280">
        <v>5</v>
      </c>
      <c r="V280">
        <v>0</v>
      </c>
      <c r="W280" t="s">
        <v>68</v>
      </c>
      <c r="Y280" t="b">
        <f t="shared" si="5"/>
        <v>1</v>
      </c>
    </row>
    <row r="281" spans="1:25" x14ac:dyDescent="0.25">
      <c r="A281" t="s">
        <v>409</v>
      </c>
      <c r="B281" s="3">
        <v>1744</v>
      </c>
      <c r="C281" s="3">
        <v>7</v>
      </c>
      <c r="D281" t="s">
        <v>91</v>
      </c>
      <c r="E281" t="s">
        <v>106</v>
      </c>
      <c r="F281" t="s">
        <v>248</v>
      </c>
      <c r="G281" s="3">
        <v>5</v>
      </c>
      <c r="H281" s="4">
        <v>4.952066726971168</v>
      </c>
      <c r="I281" s="4">
        <v>6</v>
      </c>
      <c r="J281" s="3">
        <v>0</v>
      </c>
      <c r="K281" t="s">
        <v>68</v>
      </c>
      <c r="M281" t="s">
        <v>409</v>
      </c>
      <c r="N281">
        <v>1744</v>
      </c>
      <c r="O281">
        <v>7</v>
      </c>
      <c r="P281" t="s">
        <v>91</v>
      </c>
      <c r="Q281" t="s">
        <v>106</v>
      </c>
      <c r="R281" t="s">
        <v>107</v>
      </c>
      <c r="S281">
        <v>5</v>
      </c>
      <c r="T281">
        <v>4.9456828942866284</v>
      </c>
      <c r="U281">
        <v>6</v>
      </c>
      <c r="V281">
        <v>0</v>
      </c>
      <c r="W281" t="s">
        <v>68</v>
      </c>
      <c r="Y281" t="b">
        <f t="shared" si="5"/>
        <v>1</v>
      </c>
    </row>
    <row r="282" spans="1:25" x14ac:dyDescent="0.25">
      <c r="A282" t="s">
        <v>409</v>
      </c>
      <c r="B282" s="3">
        <v>1744</v>
      </c>
      <c r="C282" s="3">
        <v>8</v>
      </c>
      <c r="D282" t="s">
        <v>91</v>
      </c>
      <c r="E282" t="s">
        <v>414</v>
      </c>
      <c r="F282" t="s">
        <v>415</v>
      </c>
      <c r="G282" s="3">
        <v>6</v>
      </c>
      <c r="H282" s="4">
        <v>4.2120416195760599</v>
      </c>
      <c r="I282" s="4">
        <v>5</v>
      </c>
      <c r="J282" s="3">
        <v>0</v>
      </c>
      <c r="K282" t="s">
        <v>68</v>
      </c>
      <c r="M282" t="s">
        <v>409</v>
      </c>
      <c r="N282">
        <v>1744</v>
      </c>
      <c r="O282">
        <v>8</v>
      </c>
      <c r="P282" t="s">
        <v>91</v>
      </c>
      <c r="Q282" t="s">
        <v>414</v>
      </c>
      <c r="R282" t="s">
        <v>415</v>
      </c>
      <c r="S282">
        <v>6</v>
      </c>
      <c r="T282">
        <v>4.2039808291065652</v>
      </c>
      <c r="U282">
        <v>5</v>
      </c>
      <c r="V282">
        <v>0</v>
      </c>
      <c r="W282" t="s">
        <v>68</v>
      </c>
      <c r="Y282" t="b">
        <f t="shared" si="5"/>
        <v>1</v>
      </c>
    </row>
    <row r="283" spans="1:25" x14ac:dyDescent="0.25">
      <c r="A283" t="s">
        <v>409</v>
      </c>
      <c r="B283" s="3">
        <v>1744</v>
      </c>
      <c r="C283" s="3">
        <v>9</v>
      </c>
      <c r="D283" t="s">
        <v>91</v>
      </c>
      <c r="E283" t="s">
        <v>416</v>
      </c>
      <c r="F283" t="s">
        <v>417</v>
      </c>
      <c r="G283" s="3">
        <v>7</v>
      </c>
      <c r="H283" s="4">
        <v>2.8795227668558399</v>
      </c>
      <c r="I283" s="4">
        <v>4</v>
      </c>
      <c r="J283" s="3">
        <v>0</v>
      </c>
      <c r="K283" t="s">
        <v>68</v>
      </c>
      <c r="M283" t="s">
        <v>409</v>
      </c>
      <c r="N283">
        <v>1744</v>
      </c>
      <c r="O283">
        <v>9</v>
      </c>
      <c r="P283" t="s">
        <v>91</v>
      </c>
      <c r="Q283" t="s">
        <v>416</v>
      </c>
      <c r="R283" t="s">
        <v>417</v>
      </c>
      <c r="S283">
        <v>7</v>
      </c>
      <c r="T283">
        <v>2.8757026668829391</v>
      </c>
      <c r="U283">
        <v>4</v>
      </c>
      <c r="V283">
        <v>0</v>
      </c>
      <c r="W283" t="s">
        <v>68</v>
      </c>
      <c r="Y283" t="b">
        <f t="shared" si="5"/>
        <v>1</v>
      </c>
    </row>
    <row r="284" spans="1:25" x14ac:dyDescent="0.25">
      <c r="A284" t="s">
        <v>409</v>
      </c>
      <c r="B284" s="3">
        <v>1744</v>
      </c>
      <c r="C284" s="3">
        <v>10</v>
      </c>
      <c r="D284" t="s">
        <v>91</v>
      </c>
      <c r="E284" t="s">
        <v>404</v>
      </c>
      <c r="F284" t="s">
        <v>405</v>
      </c>
      <c r="G284" s="3">
        <v>8</v>
      </c>
      <c r="H284" s="4">
        <v>2.6440769325750111</v>
      </c>
      <c r="I284" s="4">
        <v>2</v>
      </c>
      <c r="J284" s="3">
        <v>0</v>
      </c>
      <c r="K284" t="s">
        <v>68</v>
      </c>
      <c r="M284" t="s">
        <v>409</v>
      </c>
      <c r="N284">
        <v>1744</v>
      </c>
      <c r="O284">
        <v>10</v>
      </c>
      <c r="P284" t="s">
        <v>91</v>
      </c>
      <c r="Q284" t="s">
        <v>404</v>
      </c>
      <c r="R284" t="s">
        <v>405</v>
      </c>
      <c r="S284">
        <v>8</v>
      </c>
      <c r="T284">
        <v>2.6404650546619379</v>
      </c>
      <c r="U284">
        <v>2</v>
      </c>
      <c r="V284">
        <v>0</v>
      </c>
      <c r="W284" t="s">
        <v>68</v>
      </c>
      <c r="Y284" t="b">
        <f t="shared" si="5"/>
        <v>1</v>
      </c>
    </row>
    <row r="285" spans="1:25" x14ac:dyDescent="0.25">
      <c r="A285" t="s">
        <v>409</v>
      </c>
      <c r="B285" s="3">
        <v>1744</v>
      </c>
      <c r="C285" s="3">
        <v>11</v>
      </c>
      <c r="D285" t="s">
        <v>91</v>
      </c>
      <c r="E285" t="s">
        <v>276</v>
      </c>
      <c r="F285" t="s">
        <v>277</v>
      </c>
      <c r="G285" s="3">
        <v>9</v>
      </c>
      <c r="H285" s="4">
        <v>2.2409857535971471</v>
      </c>
      <c r="I285" s="4">
        <v>2</v>
      </c>
      <c r="J285" s="3">
        <v>0</v>
      </c>
      <c r="K285" t="s">
        <v>68</v>
      </c>
      <c r="M285" t="s">
        <v>409</v>
      </c>
      <c r="N285">
        <v>1744</v>
      </c>
      <c r="O285">
        <v>11</v>
      </c>
      <c r="P285" t="s">
        <v>91</v>
      </c>
      <c r="Q285" t="s">
        <v>276</v>
      </c>
      <c r="R285" t="s">
        <v>287</v>
      </c>
      <c r="S285">
        <v>9</v>
      </c>
      <c r="T285">
        <v>2.2380333447742391</v>
      </c>
      <c r="U285">
        <v>2</v>
      </c>
      <c r="V285">
        <v>0</v>
      </c>
      <c r="W285" t="s">
        <v>68</v>
      </c>
      <c r="Y285" t="b">
        <f t="shared" si="5"/>
        <v>1</v>
      </c>
    </row>
    <row r="286" spans="1:25" x14ac:dyDescent="0.25">
      <c r="A286" t="s">
        <v>409</v>
      </c>
      <c r="B286" s="3">
        <v>1744</v>
      </c>
      <c r="C286" s="3">
        <v>12</v>
      </c>
      <c r="D286" t="s">
        <v>91</v>
      </c>
      <c r="E286" t="s">
        <v>373</v>
      </c>
      <c r="F286" t="s">
        <v>374</v>
      </c>
      <c r="G286" s="3">
        <v>10</v>
      </c>
      <c r="H286" s="4">
        <v>2.1538213850356112</v>
      </c>
      <c r="I286" s="4">
        <v>2</v>
      </c>
      <c r="J286" s="3">
        <v>0</v>
      </c>
      <c r="K286" t="s">
        <v>68</v>
      </c>
      <c r="M286" t="s">
        <v>409</v>
      </c>
      <c r="N286">
        <v>1744</v>
      </c>
      <c r="O286">
        <v>12</v>
      </c>
      <c r="P286" t="s">
        <v>91</v>
      </c>
      <c r="Q286" t="s">
        <v>373</v>
      </c>
      <c r="R286" t="s">
        <v>374</v>
      </c>
      <c r="S286">
        <v>10</v>
      </c>
      <c r="T286">
        <v>2.1510429636944841</v>
      </c>
      <c r="U286">
        <v>2</v>
      </c>
      <c r="V286">
        <v>0</v>
      </c>
      <c r="W286" t="s">
        <v>68</v>
      </c>
      <c r="Y286" t="b">
        <f t="shared" si="5"/>
        <v>1</v>
      </c>
    </row>
    <row r="289" spans="1:25" ht="15.75" x14ac:dyDescent="0.3">
      <c r="A289" s="12" t="s">
        <v>418</v>
      </c>
      <c r="M289" s="12" t="s">
        <v>418</v>
      </c>
    </row>
    <row r="290" spans="1:25" ht="30.75" thickBot="1" x14ac:dyDescent="0.3">
      <c r="A290" s="2" t="s">
        <v>80</v>
      </c>
      <c r="B290" s="2" t="s">
        <v>13</v>
      </c>
      <c r="C290" s="2" t="s">
        <v>81</v>
      </c>
      <c r="D290" s="2" t="s">
        <v>82</v>
      </c>
      <c r="E290" s="2" t="s">
        <v>83</v>
      </c>
      <c r="F290" s="2" t="s">
        <v>84</v>
      </c>
      <c r="G290" s="2" t="s">
        <v>85</v>
      </c>
      <c r="H290" s="2" t="s">
        <v>86</v>
      </c>
      <c r="I290" s="2" t="s">
        <v>87</v>
      </c>
      <c r="J290" s="2" t="s">
        <v>88</v>
      </c>
      <c r="K290" s="2" t="s">
        <v>89</v>
      </c>
      <c r="M290" s="2" t="s">
        <v>80</v>
      </c>
      <c r="N290" s="2" t="s">
        <v>13</v>
      </c>
      <c r="O290" s="2" t="s">
        <v>81</v>
      </c>
      <c r="P290" s="2" t="s">
        <v>82</v>
      </c>
      <c r="Q290" s="2" t="s">
        <v>83</v>
      </c>
      <c r="R290" s="2" t="s">
        <v>84</v>
      </c>
      <c r="S290" s="2" t="s">
        <v>85</v>
      </c>
      <c r="T290" s="2" t="s">
        <v>86</v>
      </c>
      <c r="U290" s="2" t="s">
        <v>87</v>
      </c>
      <c r="V290" s="2" t="s">
        <v>88</v>
      </c>
      <c r="W290" s="2" t="s">
        <v>89</v>
      </c>
    </row>
    <row r="291" spans="1:25" x14ac:dyDescent="0.25">
      <c r="A291" t="s">
        <v>419</v>
      </c>
      <c r="B291" s="3">
        <v>1744</v>
      </c>
      <c r="C291" s="3">
        <v>1</v>
      </c>
      <c r="J291" s="3">
        <v>0</v>
      </c>
      <c r="K291" t="s">
        <v>68</v>
      </c>
      <c r="M291" t="s">
        <v>419</v>
      </c>
      <c r="N291">
        <v>1744</v>
      </c>
      <c r="O291">
        <v>1</v>
      </c>
      <c r="V291">
        <v>0</v>
      </c>
      <c r="W291" t="s">
        <v>68</v>
      </c>
      <c r="Y291" t="b">
        <f t="shared" si="5"/>
        <v>1</v>
      </c>
    </row>
    <row r="292" spans="1:25" x14ac:dyDescent="0.25">
      <c r="A292" t="s">
        <v>419</v>
      </c>
      <c r="B292" s="3">
        <v>1744</v>
      </c>
      <c r="C292" s="3">
        <v>2</v>
      </c>
      <c r="J292" s="3">
        <v>0</v>
      </c>
      <c r="K292" t="s">
        <v>68</v>
      </c>
      <c r="M292" t="s">
        <v>419</v>
      </c>
      <c r="N292">
        <v>1744</v>
      </c>
      <c r="O292">
        <v>2</v>
      </c>
      <c r="V292">
        <v>0</v>
      </c>
      <c r="W292" t="s">
        <v>68</v>
      </c>
      <c r="Y292" t="b">
        <f t="shared" si="5"/>
        <v>1</v>
      </c>
    </row>
    <row r="293" spans="1:25" x14ac:dyDescent="0.25">
      <c r="A293" t="s">
        <v>419</v>
      </c>
      <c r="B293" s="3">
        <v>1744</v>
      </c>
      <c r="C293" s="3">
        <v>3</v>
      </c>
      <c r="D293" t="s">
        <v>91</v>
      </c>
      <c r="E293" t="s">
        <v>330</v>
      </c>
      <c r="F293" t="s">
        <v>331</v>
      </c>
      <c r="G293" s="3">
        <v>1</v>
      </c>
      <c r="H293" s="4">
        <v>6.3658407338388354</v>
      </c>
      <c r="I293" s="4">
        <v>7</v>
      </c>
      <c r="J293" s="3">
        <v>0</v>
      </c>
      <c r="K293" t="s">
        <v>68</v>
      </c>
      <c r="M293" t="s">
        <v>419</v>
      </c>
      <c r="N293">
        <v>1744</v>
      </c>
      <c r="O293">
        <v>3</v>
      </c>
      <c r="P293" t="s">
        <v>91</v>
      </c>
      <c r="Q293" t="s">
        <v>330</v>
      </c>
      <c r="R293" t="s">
        <v>420</v>
      </c>
      <c r="S293">
        <v>1</v>
      </c>
      <c r="T293">
        <v>6.3563565815730492</v>
      </c>
      <c r="U293">
        <v>7</v>
      </c>
      <c r="V293">
        <v>0</v>
      </c>
      <c r="W293" t="s">
        <v>68</v>
      </c>
      <c r="Y293" t="b">
        <f t="shared" si="5"/>
        <v>1</v>
      </c>
    </row>
    <row r="294" spans="1:25" x14ac:dyDescent="0.25">
      <c r="A294" t="s">
        <v>419</v>
      </c>
      <c r="B294" s="3">
        <v>1744</v>
      </c>
      <c r="C294" s="3">
        <v>4</v>
      </c>
      <c r="D294" t="s">
        <v>91</v>
      </c>
      <c r="E294" t="s">
        <v>421</v>
      </c>
      <c r="F294" t="s">
        <v>422</v>
      </c>
      <c r="G294" s="3">
        <v>2</v>
      </c>
      <c r="H294" s="4">
        <v>4.595633974870462</v>
      </c>
      <c r="I294" s="4">
        <v>5</v>
      </c>
      <c r="J294" s="3">
        <v>0</v>
      </c>
      <c r="K294" t="s">
        <v>68</v>
      </c>
      <c r="M294" t="s">
        <v>419</v>
      </c>
      <c r="N294">
        <v>1744</v>
      </c>
      <c r="O294">
        <v>4</v>
      </c>
      <c r="P294" t="s">
        <v>91</v>
      </c>
      <c r="Q294" t="s">
        <v>421</v>
      </c>
      <c r="R294" t="s">
        <v>423</v>
      </c>
      <c r="S294">
        <v>2</v>
      </c>
      <c r="T294">
        <v>4.5880057806246928</v>
      </c>
      <c r="U294">
        <v>5</v>
      </c>
      <c r="V294">
        <v>0</v>
      </c>
      <c r="W294" t="s">
        <v>68</v>
      </c>
      <c r="Y294" t="b">
        <f t="shared" si="5"/>
        <v>1</v>
      </c>
    </row>
    <row r="295" spans="1:25" x14ac:dyDescent="0.25">
      <c r="A295" t="s">
        <v>419</v>
      </c>
      <c r="B295" s="3">
        <v>1744</v>
      </c>
      <c r="C295" s="3">
        <v>5</v>
      </c>
      <c r="D295" t="s">
        <v>91</v>
      </c>
      <c r="E295" t="s">
        <v>424</v>
      </c>
      <c r="F295" t="s">
        <v>425</v>
      </c>
      <c r="G295" s="3">
        <v>3</v>
      </c>
      <c r="H295" s="4">
        <v>2.2818216282296571</v>
      </c>
      <c r="I295" s="4">
        <v>2</v>
      </c>
      <c r="J295" s="3">
        <v>0</v>
      </c>
      <c r="K295" t="s">
        <v>68</v>
      </c>
      <c r="M295" t="s">
        <v>419</v>
      </c>
      <c r="N295">
        <v>1744</v>
      </c>
      <c r="O295">
        <v>5</v>
      </c>
      <c r="P295" t="s">
        <v>91</v>
      </c>
      <c r="Q295" t="s">
        <v>424</v>
      </c>
      <c r="R295" t="s">
        <v>425</v>
      </c>
      <c r="S295">
        <v>3</v>
      </c>
      <c r="T295">
        <v>2.2789761218937321</v>
      </c>
      <c r="U295">
        <v>2</v>
      </c>
      <c r="V295">
        <v>0</v>
      </c>
      <c r="W295" t="s">
        <v>68</v>
      </c>
      <c r="Y295" t="b">
        <f t="shared" si="5"/>
        <v>1</v>
      </c>
    </row>
    <row r="296" spans="1:25" x14ac:dyDescent="0.25">
      <c r="A296" t="s">
        <v>419</v>
      </c>
      <c r="B296" s="3">
        <v>1744</v>
      </c>
      <c r="C296" s="3">
        <v>6</v>
      </c>
      <c r="D296" t="s">
        <v>91</v>
      </c>
      <c r="E296" t="s">
        <v>426</v>
      </c>
      <c r="F296" t="s">
        <v>427</v>
      </c>
      <c r="G296" s="3">
        <v>4</v>
      </c>
      <c r="H296" s="4">
        <v>2.2044153904315551</v>
      </c>
      <c r="I296" s="4">
        <v>2</v>
      </c>
      <c r="J296" s="3">
        <v>0</v>
      </c>
      <c r="K296" t="s">
        <v>68</v>
      </c>
      <c r="M296" t="s">
        <v>419</v>
      </c>
      <c r="N296">
        <v>1744</v>
      </c>
      <c r="O296">
        <v>6</v>
      </c>
      <c r="P296" t="s">
        <v>91</v>
      </c>
      <c r="Q296" t="s">
        <v>426</v>
      </c>
      <c r="R296" t="s">
        <v>427</v>
      </c>
      <c r="S296">
        <v>4</v>
      </c>
      <c r="T296">
        <v>2.2015124329559148</v>
      </c>
      <c r="U296">
        <v>2</v>
      </c>
      <c r="V296">
        <v>0</v>
      </c>
      <c r="W296" t="s">
        <v>68</v>
      </c>
      <c r="Y296" t="b">
        <f t="shared" si="5"/>
        <v>1</v>
      </c>
    </row>
    <row r="297" spans="1:25" x14ac:dyDescent="0.25">
      <c r="A297" t="s">
        <v>419</v>
      </c>
      <c r="B297" s="3">
        <v>1744</v>
      </c>
      <c r="C297" s="3">
        <v>7</v>
      </c>
      <c r="D297" t="s">
        <v>91</v>
      </c>
      <c r="E297" t="s">
        <v>134</v>
      </c>
      <c r="F297" t="s">
        <v>135</v>
      </c>
      <c r="G297" s="3">
        <v>5</v>
      </c>
      <c r="H297" s="4">
        <v>1.7895169847209511</v>
      </c>
      <c r="I297" s="4">
        <v>2</v>
      </c>
      <c r="J297" s="3">
        <v>0</v>
      </c>
      <c r="K297" t="s">
        <v>68</v>
      </c>
      <c r="M297" t="s">
        <v>419</v>
      </c>
      <c r="N297">
        <v>1744</v>
      </c>
      <c r="O297">
        <v>7</v>
      </c>
      <c r="P297" t="s">
        <v>91</v>
      </c>
      <c r="Q297" t="s">
        <v>134</v>
      </c>
      <c r="R297" t="s">
        <v>135</v>
      </c>
      <c r="S297">
        <v>5</v>
      </c>
      <c r="T297">
        <v>1.787002511635033</v>
      </c>
      <c r="U297">
        <v>2</v>
      </c>
      <c r="V297">
        <v>0</v>
      </c>
      <c r="W297" t="s">
        <v>68</v>
      </c>
      <c r="Y297" t="b">
        <f t="shared" si="5"/>
        <v>1</v>
      </c>
    </row>
    <row r="298" spans="1:25" x14ac:dyDescent="0.25">
      <c r="A298" t="s">
        <v>419</v>
      </c>
      <c r="B298" s="3">
        <v>1744</v>
      </c>
      <c r="C298" s="3">
        <v>8</v>
      </c>
      <c r="D298" t="s">
        <v>91</v>
      </c>
      <c r="E298" t="s">
        <v>110</v>
      </c>
      <c r="F298" t="s">
        <v>428</v>
      </c>
      <c r="G298" s="3">
        <v>6</v>
      </c>
      <c r="H298" s="4">
        <v>1.5672844547647979</v>
      </c>
      <c r="I298" s="4">
        <v>2</v>
      </c>
      <c r="J298" s="3">
        <v>0</v>
      </c>
      <c r="K298" t="s">
        <v>68</v>
      </c>
      <c r="M298" t="s">
        <v>419</v>
      </c>
      <c r="N298">
        <v>1744</v>
      </c>
      <c r="O298">
        <v>8</v>
      </c>
      <c r="P298" t="s">
        <v>91</v>
      </c>
      <c r="Q298" t="s">
        <v>110</v>
      </c>
      <c r="R298" t="s">
        <v>429</v>
      </c>
      <c r="S298">
        <v>6</v>
      </c>
      <c r="T298">
        <v>1.565233334392681</v>
      </c>
      <c r="U298">
        <v>2</v>
      </c>
      <c r="V298">
        <v>0</v>
      </c>
      <c r="W298" t="s">
        <v>68</v>
      </c>
      <c r="Y298" t="b">
        <f t="shared" si="5"/>
        <v>1</v>
      </c>
    </row>
    <row r="299" spans="1:25" x14ac:dyDescent="0.25">
      <c r="A299" t="s">
        <v>419</v>
      </c>
      <c r="B299" s="3">
        <v>1744</v>
      </c>
      <c r="C299" s="3">
        <v>9</v>
      </c>
      <c r="D299" t="s">
        <v>91</v>
      </c>
      <c r="E299" t="s">
        <v>210</v>
      </c>
      <c r="F299" t="s">
        <v>430</v>
      </c>
      <c r="G299" s="3">
        <v>7</v>
      </c>
      <c r="H299" s="4">
        <v>1.3279962066154261</v>
      </c>
      <c r="I299" s="4">
        <v>1</v>
      </c>
      <c r="J299" s="3">
        <v>0</v>
      </c>
      <c r="K299" t="s">
        <v>68</v>
      </c>
      <c r="M299" t="s">
        <v>419</v>
      </c>
      <c r="N299">
        <v>1744</v>
      </c>
      <c r="O299">
        <v>9</v>
      </c>
      <c r="P299" t="s">
        <v>91</v>
      </c>
      <c r="Q299" t="s">
        <v>210</v>
      </c>
      <c r="R299" t="s">
        <v>212</v>
      </c>
      <c r="S299">
        <v>7</v>
      </c>
      <c r="T299">
        <v>1.326312590782595</v>
      </c>
      <c r="U299">
        <v>1</v>
      </c>
      <c r="V299">
        <v>0</v>
      </c>
      <c r="W299" t="s">
        <v>68</v>
      </c>
      <c r="Y299" t="b">
        <f t="shared" si="5"/>
        <v>1</v>
      </c>
    </row>
    <row r="300" spans="1:25" x14ac:dyDescent="0.25">
      <c r="A300" t="s">
        <v>419</v>
      </c>
      <c r="B300" s="3">
        <v>1744</v>
      </c>
      <c r="C300" s="3">
        <v>10</v>
      </c>
      <c r="D300" t="s">
        <v>91</v>
      </c>
      <c r="E300" t="s">
        <v>161</v>
      </c>
      <c r="F300" t="s">
        <v>162</v>
      </c>
      <c r="G300" s="3">
        <v>8</v>
      </c>
      <c r="H300" s="4">
        <v>1.213752243541518</v>
      </c>
      <c r="I300" s="4">
        <v>1</v>
      </c>
      <c r="J300" s="3">
        <v>0</v>
      </c>
      <c r="K300" t="s">
        <v>68</v>
      </c>
      <c r="M300" t="s">
        <v>419</v>
      </c>
      <c r="N300">
        <v>1744</v>
      </c>
      <c r="O300">
        <v>10</v>
      </c>
      <c r="P300" t="s">
        <v>91</v>
      </c>
      <c r="Q300" t="s">
        <v>161</v>
      </c>
      <c r="R300" t="s">
        <v>162</v>
      </c>
      <c r="S300">
        <v>8</v>
      </c>
      <c r="T300">
        <v>1.2120441037565941</v>
      </c>
      <c r="U300">
        <v>1</v>
      </c>
      <c r="V300">
        <v>0</v>
      </c>
      <c r="W300" t="s">
        <v>68</v>
      </c>
      <c r="Y300" t="b">
        <f t="shared" si="5"/>
        <v>1</v>
      </c>
    </row>
    <row r="301" spans="1:25" x14ac:dyDescent="0.25">
      <c r="A301" t="s">
        <v>419</v>
      </c>
      <c r="B301" s="3">
        <v>1744</v>
      </c>
      <c r="C301" s="3">
        <v>11</v>
      </c>
      <c r="D301" t="s">
        <v>91</v>
      </c>
      <c r="E301" t="s">
        <v>341</v>
      </c>
      <c r="F301" t="s">
        <v>342</v>
      </c>
      <c r="G301" s="3">
        <v>9</v>
      </c>
      <c r="H301" s="4">
        <v>1.046872189541532</v>
      </c>
      <c r="I301" s="4">
        <v>2</v>
      </c>
      <c r="J301" s="3">
        <v>0</v>
      </c>
      <c r="K301" t="s">
        <v>68</v>
      </c>
      <c r="M301" t="s">
        <v>419</v>
      </c>
      <c r="N301">
        <v>1744</v>
      </c>
      <c r="O301">
        <v>11</v>
      </c>
      <c r="P301" t="s">
        <v>91</v>
      </c>
      <c r="Q301" t="s">
        <v>341</v>
      </c>
      <c r="R301" t="s">
        <v>431</v>
      </c>
      <c r="S301">
        <v>9</v>
      </c>
      <c r="T301">
        <v>1.043854875275755</v>
      </c>
      <c r="U301">
        <v>2</v>
      </c>
      <c r="V301">
        <v>0</v>
      </c>
      <c r="W301" t="s">
        <v>68</v>
      </c>
      <c r="Y301" t="b">
        <f t="shared" si="5"/>
        <v>1</v>
      </c>
    </row>
    <row r="302" spans="1:25" x14ac:dyDescent="0.25">
      <c r="A302" t="s">
        <v>419</v>
      </c>
      <c r="B302" s="3">
        <v>1744</v>
      </c>
      <c r="C302" s="3">
        <v>12</v>
      </c>
      <c r="D302" t="s">
        <v>91</v>
      </c>
      <c r="E302" t="s">
        <v>432</v>
      </c>
      <c r="F302" t="s">
        <v>433</v>
      </c>
      <c r="G302" s="3">
        <v>10</v>
      </c>
      <c r="H302" s="4">
        <v>0.89244599273205294</v>
      </c>
      <c r="I302" s="4">
        <v>1</v>
      </c>
      <c r="J302" s="3">
        <v>0</v>
      </c>
      <c r="K302" t="s">
        <v>68</v>
      </c>
      <c r="M302" t="s">
        <v>419</v>
      </c>
      <c r="N302">
        <v>1744</v>
      </c>
      <c r="O302">
        <v>12</v>
      </c>
      <c r="P302" t="s">
        <v>91</v>
      </c>
      <c r="Q302" t="s">
        <v>432</v>
      </c>
      <c r="R302" t="s">
        <v>434</v>
      </c>
      <c r="S302">
        <v>10</v>
      </c>
      <c r="T302">
        <v>0.89125853971822078</v>
      </c>
      <c r="U302">
        <v>1</v>
      </c>
      <c r="V302">
        <v>0</v>
      </c>
      <c r="W302" t="s">
        <v>68</v>
      </c>
      <c r="Y302" t="b">
        <f t="shared" si="5"/>
        <v>1</v>
      </c>
    </row>
    <row r="305" spans="1:25" ht="15.75" x14ac:dyDescent="0.3">
      <c r="A305" s="12" t="s">
        <v>435</v>
      </c>
      <c r="M305" s="12" t="s">
        <v>435</v>
      </c>
    </row>
    <row r="306" spans="1:25" ht="30.75" thickBot="1" x14ac:dyDescent="0.3">
      <c r="A306" s="2" t="s">
        <v>80</v>
      </c>
      <c r="B306" s="2" t="s">
        <v>13</v>
      </c>
      <c r="C306" s="2" t="s">
        <v>81</v>
      </c>
      <c r="D306" s="2" t="s">
        <v>82</v>
      </c>
      <c r="E306" s="2" t="s">
        <v>83</v>
      </c>
      <c r="F306" s="2" t="s">
        <v>84</v>
      </c>
      <c r="G306" s="2" t="s">
        <v>85</v>
      </c>
      <c r="H306" s="2" t="s">
        <v>86</v>
      </c>
      <c r="I306" s="2" t="s">
        <v>87</v>
      </c>
      <c r="J306" s="2" t="s">
        <v>88</v>
      </c>
      <c r="K306" s="2" t="s">
        <v>89</v>
      </c>
      <c r="M306" s="2" t="s">
        <v>80</v>
      </c>
      <c r="N306" s="2" t="s">
        <v>13</v>
      </c>
      <c r="O306" s="2" t="s">
        <v>81</v>
      </c>
      <c r="P306" s="2" t="s">
        <v>82</v>
      </c>
      <c r="Q306" s="2" t="s">
        <v>83</v>
      </c>
      <c r="R306" s="2" t="s">
        <v>84</v>
      </c>
      <c r="S306" s="2" t="s">
        <v>85</v>
      </c>
      <c r="T306" s="2" t="s">
        <v>86</v>
      </c>
      <c r="U306" s="2" t="s">
        <v>87</v>
      </c>
      <c r="V306" s="2" t="s">
        <v>88</v>
      </c>
      <c r="W306" s="2" t="s">
        <v>89</v>
      </c>
    </row>
    <row r="307" spans="1:25" x14ac:dyDescent="0.25">
      <c r="A307" t="s">
        <v>436</v>
      </c>
      <c r="B307" s="3">
        <v>1740</v>
      </c>
      <c r="C307" s="3">
        <v>1</v>
      </c>
      <c r="J307" s="3">
        <v>0</v>
      </c>
      <c r="K307" t="s">
        <v>68</v>
      </c>
      <c r="M307" t="s">
        <v>437</v>
      </c>
      <c r="N307">
        <v>1740</v>
      </c>
      <c r="O307">
        <v>1</v>
      </c>
      <c r="V307">
        <v>0</v>
      </c>
      <c r="W307" t="s">
        <v>68</v>
      </c>
      <c r="Y307" t="b">
        <f t="shared" si="5"/>
        <v>1</v>
      </c>
    </row>
    <row r="308" spans="1:25" x14ac:dyDescent="0.25">
      <c r="A308" t="s">
        <v>436</v>
      </c>
      <c r="B308" s="3">
        <v>1740</v>
      </c>
      <c r="C308" s="3">
        <v>2</v>
      </c>
      <c r="J308" s="3">
        <v>0</v>
      </c>
      <c r="K308" t="s">
        <v>68</v>
      </c>
      <c r="M308" t="s">
        <v>437</v>
      </c>
      <c r="N308">
        <v>1740</v>
      </c>
      <c r="O308">
        <v>2</v>
      </c>
      <c r="V308">
        <v>0</v>
      </c>
      <c r="W308" t="s">
        <v>68</v>
      </c>
      <c r="Y308" t="b">
        <f t="shared" si="5"/>
        <v>1</v>
      </c>
    </row>
    <row r="309" spans="1:25" x14ac:dyDescent="0.25">
      <c r="A309" t="s">
        <v>436</v>
      </c>
      <c r="B309" s="3">
        <v>1740</v>
      </c>
      <c r="C309" s="3">
        <v>3</v>
      </c>
      <c r="D309" t="s">
        <v>91</v>
      </c>
      <c r="E309" t="s">
        <v>399</v>
      </c>
      <c r="F309" t="s">
        <v>401</v>
      </c>
      <c r="G309" s="3">
        <v>1</v>
      </c>
      <c r="H309" s="4">
        <v>7.6261567696067347</v>
      </c>
      <c r="I309" s="4">
        <v>7</v>
      </c>
      <c r="J309" s="3">
        <v>0</v>
      </c>
      <c r="K309" t="s">
        <v>68</v>
      </c>
      <c r="M309" t="s">
        <v>437</v>
      </c>
      <c r="N309">
        <v>1740</v>
      </c>
      <c r="O309">
        <v>3</v>
      </c>
      <c r="P309" t="s">
        <v>91</v>
      </c>
      <c r="Q309" t="s">
        <v>200</v>
      </c>
      <c r="R309" t="s">
        <v>308</v>
      </c>
      <c r="S309">
        <v>1</v>
      </c>
      <c r="T309">
        <v>7.7558502347309144</v>
      </c>
      <c r="U309">
        <v>9</v>
      </c>
      <c r="V309">
        <v>0</v>
      </c>
      <c r="W309" t="s">
        <v>68</v>
      </c>
      <c r="Y309" t="b">
        <f t="shared" si="5"/>
        <v>0</v>
      </c>
    </row>
    <row r="310" spans="1:25" x14ac:dyDescent="0.25">
      <c r="A310" t="s">
        <v>436</v>
      </c>
      <c r="B310" s="3">
        <v>1740</v>
      </c>
      <c r="C310" s="3">
        <v>4</v>
      </c>
      <c r="D310" t="s">
        <v>91</v>
      </c>
      <c r="E310" t="s">
        <v>292</v>
      </c>
      <c r="F310" t="s">
        <v>438</v>
      </c>
      <c r="G310" s="3">
        <v>2</v>
      </c>
      <c r="H310" s="4">
        <v>4.9791384680746429</v>
      </c>
      <c r="I310" s="4">
        <v>7</v>
      </c>
      <c r="J310" s="3">
        <v>0</v>
      </c>
      <c r="K310" t="s">
        <v>68</v>
      </c>
      <c r="M310" t="s">
        <v>437</v>
      </c>
      <c r="N310">
        <v>1740</v>
      </c>
      <c r="O310">
        <v>4</v>
      </c>
      <c r="P310" t="s">
        <v>91</v>
      </c>
      <c r="Q310" t="s">
        <v>376</v>
      </c>
      <c r="R310" t="s">
        <v>439</v>
      </c>
      <c r="S310">
        <v>2</v>
      </c>
      <c r="T310">
        <v>4.5454122861863837</v>
      </c>
      <c r="U310">
        <v>5</v>
      </c>
      <c r="V310">
        <v>0</v>
      </c>
      <c r="W310" t="s">
        <v>68</v>
      </c>
      <c r="Y310" t="b">
        <f t="shared" si="5"/>
        <v>0</v>
      </c>
    </row>
    <row r="311" spans="1:25" x14ac:dyDescent="0.25">
      <c r="A311" t="s">
        <v>436</v>
      </c>
      <c r="B311" s="3">
        <v>1740</v>
      </c>
      <c r="C311" s="3">
        <v>5</v>
      </c>
      <c r="D311" t="s">
        <v>91</v>
      </c>
      <c r="E311" t="s">
        <v>376</v>
      </c>
      <c r="F311" t="s">
        <v>440</v>
      </c>
      <c r="G311" s="3">
        <v>3</v>
      </c>
      <c r="H311" s="4">
        <v>4.5513609776404049</v>
      </c>
      <c r="I311" s="4">
        <v>5</v>
      </c>
      <c r="J311" s="3">
        <v>0</v>
      </c>
      <c r="K311" t="s">
        <v>68</v>
      </c>
      <c r="M311" t="s">
        <v>437</v>
      </c>
      <c r="N311">
        <v>1740</v>
      </c>
      <c r="O311">
        <v>5</v>
      </c>
      <c r="P311" t="s">
        <v>91</v>
      </c>
      <c r="Q311" t="s">
        <v>441</v>
      </c>
      <c r="R311" t="s">
        <v>442</v>
      </c>
      <c r="S311">
        <v>3</v>
      </c>
      <c r="T311">
        <v>3</v>
      </c>
      <c r="U311">
        <v>3</v>
      </c>
      <c r="V311">
        <v>0</v>
      </c>
      <c r="W311" t="s">
        <v>68</v>
      </c>
      <c r="Y311" t="b">
        <f t="shared" si="5"/>
        <v>0</v>
      </c>
    </row>
    <row r="312" spans="1:25" x14ac:dyDescent="0.25">
      <c r="A312" t="s">
        <v>436</v>
      </c>
      <c r="B312" s="3">
        <v>1740</v>
      </c>
      <c r="C312" s="3">
        <v>6</v>
      </c>
      <c r="D312" t="s">
        <v>91</v>
      </c>
      <c r="E312" t="s">
        <v>168</v>
      </c>
      <c r="F312" t="s">
        <v>169</v>
      </c>
      <c r="G312" s="3">
        <v>4</v>
      </c>
      <c r="H312" s="4">
        <v>3.813688597579282</v>
      </c>
      <c r="I312" s="4">
        <v>4</v>
      </c>
      <c r="J312" s="3">
        <v>0</v>
      </c>
      <c r="K312" t="s">
        <v>68</v>
      </c>
      <c r="M312" t="s">
        <v>437</v>
      </c>
      <c r="N312">
        <v>1740</v>
      </c>
      <c r="O312">
        <v>6</v>
      </c>
      <c r="P312" t="s">
        <v>91</v>
      </c>
      <c r="Q312" t="s">
        <v>443</v>
      </c>
      <c r="R312" t="s">
        <v>444</v>
      </c>
      <c r="S312">
        <v>4</v>
      </c>
      <c r="T312">
        <v>2.825437136032714</v>
      </c>
      <c r="U312">
        <v>2</v>
      </c>
      <c r="V312">
        <v>0</v>
      </c>
      <c r="W312" t="s">
        <v>68</v>
      </c>
      <c r="Y312" t="b">
        <f t="shared" si="5"/>
        <v>0</v>
      </c>
    </row>
    <row r="313" spans="1:25" x14ac:dyDescent="0.25">
      <c r="A313" t="s">
        <v>436</v>
      </c>
      <c r="B313" s="3">
        <v>1740</v>
      </c>
      <c r="C313" s="3">
        <v>7</v>
      </c>
      <c r="D313" t="s">
        <v>91</v>
      </c>
      <c r="E313" t="s">
        <v>445</v>
      </c>
      <c r="F313" t="s">
        <v>446</v>
      </c>
      <c r="G313" s="3">
        <v>5</v>
      </c>
      <c r="H313" s="4">
        <v>3.107095344916206</v>
      </c>
      <c r="I313" s="4">
        <v>3</v>
      </c>
      <c r="J313" s="3">
        <v>0</v>
      </c>
      <c r="K313" t="s">
        <v>68</v>
      </c>
      <c r="M313" t="s">
        <v>437</v>
      </c>
      <c r="N313">
        <v>1740</v>
      </c>
      <c r="O313">
        <v>7</v>
      </c>
      <c r="P313" t="s">
        <v>91</v>
      </c>
      <c r="Q313" t="s">
        <v>210</v>
      </c>
      <c r="R313" t="s">
        <v>212</v>
      </c>
      <c r="S313">
        <v>5</v>
      </c>
      <c r="T313">
        <v>2.667034991703789</v>
      </c>
      <c r="U313">
        <v>2</v>
      </c>
      <c r="V313">
        <v>0</v>
      </c>
      <c r="W313" t="s">
        <v>68</v>
      </c>
      <c r="Y313" t="b">
        <f t="shared" si="5"/>
        <v>0</v>
      </c>
    </row>
    <row r="314" spans="1:25" x14ac:dyDescent="0.25">
      <c r="A314" t="s">
        <v>436</v>
      </c>
      <c r="B314" s="3">
        <v>1740</v>
      </c>
      <c r="C314" s="3">
        <v>8</v>
      </c>
      <c r="D314" t="s">
        <v>91</v>
      </c>
      <c r="E314" t="s">
        <v>208</v>
      </c>
      <c r="F314" t="s">
        <v>209</v>
      </c>
      <c r="G314" s="3">
        <v>6</v>
      </c>
      <c r="H314" s="4">
        <v>3</v>
      </c>
      <c r="I314" s="4">
        <v>3</v>
      </c>
      <c r="J314" s="3">
        <v>0</v>
      </c>
      <c r="K314" t="s">
        <v>68</v>
      </c>
      <c r="M314" t="s">
        <v>437</v>
      </c>
      <c r="N314">
        <v>1740</v>
      </c>
      <c r="O314">
        <v>8</v>
      </c>
      <c r="P314" t="s">
        <v>91</v>
      </c>
      <c r="Q314" t="s">
        <v>338</v>
      </c>
      <c r="R314" t="s">
        <v>339</v>
      </c>
      <c r="S314">
        <v>6</v>
      </c>
      <c r="T314">
        <v>2.4416741341130219</v>
      </c>
      <c r="U314">
        <v>2</v>
      </c>
      <c r="V314">
        <v>0</v>
      </c>
      <c r="W314" t="s">
        <v>68</v>
      </c>
      <c r="Y314" t="b">
        <f t="shared" si="5"/>
        <v>0</v>
      </c>
    </row>
    <row r="315" spans="1:25" x14ac:dyDescent="0.25">
      <c r="A315" t="s">
        <v>436</v>
      </c>
      <c r="B315" s="3">
        <v>1740</v>
      </c>
      <c r="C315" s="3">
        <v>9</v>
      </c>
      <c r="D315" t="s">
        <v>91</v>
      </c>
      <c r="E315" t="s">
        <v>268</v>
      </c>
      <c r="F315" t="s">
        <v>269</v>
      </c>
      <c r="G315" s="3">
        <v>7</v>
      </c>
      <c r="H315" s="4">
        <v>2.8290771062995028</v>
      </c>
      <c r="I315" s="4">
        <v>2.5</v>
      </c>
      <c r="J315" s="3">
        <v>0</v>
      </c>
      <c r="K315" t="s">
        <v>68</v>
      </c>
      <c r="M315" t="s">
        <v>437</v>
      </c>
      <c r="N315">
        <v>1740</v>
      </c>
      <c r="O315">
        <v>9</v>
      </c>
      <c r="P315" t="s">
        <v>91</v>
      </c>
      <c r="Q315" t="s">
        <v>223</v>
      </c>
      <c r="R315" t="s">
        <v>447</v>
      </c>
      <c r="S315">
        <v>7</v>
      </c>
      <c r="T315">
        <v>2.3794530188630318</v>
      </c>
      <c r="U315">
        <v>4</v>
      </c>
      <c r="V315">
        <v>0</v>
      </c>
      <c r="W315" t="s">
        <v>68</v>
      </c>
      <c r="Y315" t="b">
        <f t="shared" si="5"/>
        <v>0</v>
      </c>
    </row>
    <row r="316" spans="1:25" x14ac:dyDescent="0.25">
      <c r="A316" t="s">
        <v>436</v>
      </c>
      <c r="B316" s="3">
        <v>1740</v>
      </c>
      <c r="C316" s="3">
        <v>10</v>
      </c>
      <c r="D316" t="s">
        <v>91</v>
      </c>
      <c r="E316" t="s">
        <v>448</v>
      </c>
      <c r="F316" t="s">
        <v>449</v>
      </c>
      <c r="G316" s="3">
        <v>8</v>
      </c>
      <c r="H316" s="4">
        <v>2.6637361042814129</v>
      </c>
      <c r="I316" s="4">
        <v>3</v>
      </c>
      <c r="J316" s="3">
        <v>0</v>
      </c>
      <c r="K316" t="s">
        <v>68</v>
      </c>
      <c r="M316" t="s">
        <v>437</v>
      </c>
      <c r="N316">
        <v>1740</v>
      </c>
      <c r="O316">
        <v>10</v>
      </c>
      <c r="P316" t="s">
        <v>91</v>
      </c>
      <c r="Q316" t="s">
        <v>138</v>
      </c>
      <c r="R316" t="s">
        <v>139</v>
      </c>
      <c r="S316">
        <v>8</v>
      </c>
      <c r="T316">
        <v>2.3127170322183441</v>
      </c>
      <c r="U316">
        <v>3</v>
      </c>
      <c r="V316">
        <v>0</v>
      </c>
      <c r="W316" t="s">
        <v>68</v>
      </c>
      <c r="Y316" t="b">
        <f t="shared" si="5"/>
        <v>0</v>
      </c>
    </row>
    <row r="317" spans="1:25" x14ac:dyDescent="0.25">
      <c r="A317" t="s">
        <v>436</v>
      </c>
      <c r="B317" s="3">
        <v>1740</v>
      </c>
      <c r="C317" s="3">
        <v>11</v>
      </c>
      <c r="D317" t="s">
        <v>91</v>
      </c>
      <c r="E317" t="s">
        <v>367</v>
      </c>
      <c r="F317" t="s">
        <v>450</v>
      </c>
      <c r="G317" s="3">
        <v>9</v>
      </c>
      <c r="H317" s="4">
        <v>2.0961575096195841</v>
      </c>
      <c r="I317" s="4">
        <v>3</v>
      </c>
      <c r="J317" s="3">
        <v>0</v>
      </c>
      <c r="K317" t="s">
        <v>68</v>
      </c>
      <c r="M317" t="s">
        <v>437</v>
      </c>
      <c r="N317">
        <v>1740</v>
      </c>
      <c r="O317">
        <v>11</v>
      </c>
      <c r="P317" t="s">
        <v>91</v>
      </c>
      <c r="Q317" t="s">
        <v>122</v>
      </c>
      <c r="R317" t="s">
        <v>324</v>
      </c>
      <c r="S317">
        <v>9</v>
      </c>
      <c r="T317">
        <v>1.971434427316539</v>
      </c>
      <c r="U317">
        <v>2</v>
      </c>
      <c r="V317">
        <v>0</v>
      </c>
      <c r="W317" t="s">
        <v>68</v>
      </c>
      <c r="Y317" t="b">
        <f t="shared" si="5"/>
        <v>0</v>
      </c>
    </row>
    <row r="318" spans="1:25" x14ac:dyDescent="0.25">
      <c r="A318" t="s">
        <v>436</v>
      </c>
      <c r="B318" s="3">
        <v>1740</v>
      </c>
      <c r="C318" s="3">
        <v>12</v>
      </c>
      <c r="D318" t="s">
        <v>91</v>
      </c>
      <c r="E318" t="s">
        <v>451</v>
      </c>
      <c r="F318" t="s">
        <v>452</v>
      </c>
      <c r="G318" s="3">
        <v>10</v>
      </c>
      <c r="H318" s="4">
        <v>1.7835521357586579</v>
      </c>
      <c r="I318" s="4">
        <v>2</v>
      </c>
      <c r="J318" s="3">
        <v>0</v>
      </c>
      <c r="K318" t="s">
        <v>68</v>
      </c>
      <c r="M318" t="s">
        <v>437</v>
      </c>
      <c r="N318">
        <v>1740</v>
      </c>
      <c r="O318">
        <v>12</v>
      </c>
      <c r="P318" t="s">
        <v>91</v>
      </c>
      <c r="Q318" t="s">
        <v>168</v>
      </c>
      <c r="R318" t="s">
        <v>169</v>
      </c>
      <c r="S318">
        <v>10</v>
      </c>
      <c r="T318">
        <v>1.9043836952160871</v>
      </c>
      <c r="U318">
        <v>2</v>
      </c>
      <c r="V318">
        <v>0</v>
      </c>
      <c r="W318" t="s">
        <v>68</v>
      </c>
      <c r="Y318" t="b">
        <f t="shared" si="5"/>
        <v>0</v>
      </c>
    </row>
    <row r="321" spans="1:25" ht="15.75" x14ac:dyDescent="0.3">
      <c r="A321" s="12" t="s">
        <v>453</v>
      </c>
      <c r="M321" s="12" t="s">
        <v>453</v>
      </c>
    </row>
    <row r="322" spans="1:25" ht="30.75" thickBot="1" x14ac:dyDescent="0.3">
      <c r="A322" s="2" t="s">
        <v>80</v>
      </c>
      <c r="B322" s="2" t="s">
        <v>13</v>
      </c>
      <c r="C322" s="2" t="s">
        <v>81</v>
      </c>
      <c r="D322" s="2" t="s">
        <v>82</v>
      </c>
      <c r="E322" s="2" t="s">
        <v>83</v>
      </c>
      <c r="F322" s="2" t="s">
        <v>84</v>
      </c>
      <c r="G322" s="2" t="s">
        <v>85</v>
      </c>
      <c r="H322" s="2" t="s">
        <v>86</v>
      </c>
      <c r="I322" s="2" t="s">
        <v>87</v>
      </c>
      <c r="J322" s="2" t="s">
        <v>88</v>
      </c>
      <c r="K322" s="2" t="s">
        <v>89</v>
      </c>
      <c r="M322" s="2" t="s">
        <v>80</v>
      </c>
      <c r="N322" s="2" t="s">
        <v>13</v>
      </c>
      <c r="O322" s="2" t="s">
        <v>81</v>
      </c>
      <c r="P322" s="2" t="s">
        <v>82</v>
      </c>
      <c r="Q322" s="2" t="s">
        <v>83</v>
      </c>
      <c r="R322" s="2" t="s">
        <v>84</v>
      </c>
      <c r="S322" s="2" t="s">
        <v>85</v>
      </c>
      <c r="T322" s="2" t="s">
        <v>86</v>
      </c>
      <c r="U322" s="2" t="s">
        <v>87</v>
      </c>
      <c r="V322" s="2" t="s">
        <v>88</v>
      </c>
      <c r="W322" s="2" t="s">
        <v>89</v>
      </c>
    </row>
    <row r="323" spans="1:25" x14ac:dyDescent="0.25">
      <c r="A323" t="s">
        <v>454</v>
      </c>
      <c r="B323" s="3">
        <v>1741</v>
      </c>
      <c r="C323" s="3">
        <v>1</v>
      </c>
      <c r="J323" s="3">
        <v>0</v>
      </c>
      <c r="K323" t="s">
        <v>68</v>
      </c>
      <c r="M323" t="s">
        <v>455</v>
      </c>
      <c r="N323">
        <v>1741</v>
      </c>
      <c r="O323">
        <v>1</v>
      </c>
      <c r="V323">
        <v>0</v>
      </c>
      <c r="W323" t="s">
        <v>68</v>
      </c>
      <c r="Y323" t="b">
        <f t="shared" si="5"/>
        <v>1</v>
      </c>
    </row>
    <row r="324" spans="1:25" x14ac:dyDescent="0.25">
      <c r="A324" t="s">
        <v>454</v>
      </c>
      <c r="B324" s="3">
        <v>1741</v>
      </c>
      <c r="C324" s="3">
        <v>2</v>
      </c>
      <c r="J324" s="3">
        <v>0</v>
      </c>
      <c r="K324" t="s">
        <v>68</v>
      </c>
      <c r="M324" t="s">
        <v>455</v>
      </c>
      <c r="N324">
        <v>1741</v>
      </c>
      <c r="O324">
        <v>2</v>
      </c>
      <c r="V324">
        <v>0</v>
      </c>
      <c r="W324" t="s">
        <v>68</v>
      </c>
      <c r="Y324" t="b">
        <f t="shared" ref="Y324:Y387" si="6">E324=Q324</f>
        <v>1</v>
      </c>
    </row>
    <row r="325" spans="1:25" x14ac:dyDescent="0.25">
      <c r="A325" t="s">
        <v>454</v>
      </c>
      <c r="B325" s="3">
        <v>1741</v>
      </c>
      <c r="C325" s="3">
        <v>3</v>
      </c>
      <c r="D325" t="s">
        <v>91</v>
      </c>
      <c r="E325" t="s">
        <v>312</v>
      </c>
      <c r="F325" t="s">
        <v>456</v>
      </c>
      <c r="G325" s="3">
        <v>1</v>
      </c>
      <c r="H325" s="4">
        <v>3.6514645098434149</v>
      </c>
      <c r="I325" s="4">
        <v>6</v>
      </c>
      <c r="J325" s="3">
        <v>0</v>
      </c>
      <c r="K325" t="s">
        <v>68</v>
      </c>
      <c r="M325" t="s">
        <v>455</v>
      </c>
      <c r="N325">
        <v>1741</v>
      </c>
      <c r="O325">
        <v>3</v>
      </c>
      <c r="P325" t="s">
        <v>91</v>
      </c>
      <c r="Q325" t="s">
        <v>457</v>
      </c>
      <c r="R325" t="s">
        <v>458</v>
      </c>
      <c r="S325">
        <v>1</v>
      </c>
      <c r="T325">
        <v>7.7681266510656162</v>
      </c>
      <c r="U325">
        <v>7</v>
      </c>
      <c r="V325">
        <v>0</v>
      </c>
      <c r="W325" t="s">
        <v>68</v>
      </c>
      <c r="Y325" t="b">
        <f t="shared" si="6"/>
        <v>0</v>
      </c>
    </row>
    <row r="326" spans="1:25" x14ac:dyDescent="0.25">
      <c r="A326" t="s">
        <v>454</v>
      </c>
      <c r="B326" s="3">
        <v>1741</v>
      </c>
      <c r="C326" s="3">
        <v>4</v>
      </c>
      <c r="D326" t="s">
        <v>91</v>
      </c>
      <c r="E326" t="s">
        <v>376</v>
      </c>
      <c r="F326" t="s">
        <v>440</v>
      </c>
      <c r="G326" s="3">
        <v>2</v>
      </c>
      <c r="H326" s="4">
        <v>2.0093530710124221</v>
      </c>
      <c r="I326" s="4">
        <v>2</v>
      </c>
      <c r="J326" s="3">
        <v>0</v>
      </c>
      <c r="K326" t="s">
        <v>68</v>
      </c>
      <c r="M326" t="s">
        <v>455</v>
      </c>
      <c r="N326">
        <v>1741</v>
      </c>
      <c r="O326">
        <v>4</v>
      </c>
      <c r="P326" t="s">
        <v>91</v>
      </c>
      <c r="Q326" t="s">
        <v>128</v>
      </c>
      <c r="R326" t="s">
        <v>148</v>
      </c>
      <c r="S326">
        <v>2</v>
      </c>
      <c r="T326">
        <v>7.3238066261192118</v>
      </c>
      <c r="U326">
        <v>7</v>
      </c>
      <c r="V326">
        <v>0</v>
      </c>
      <c r="W326" t="s">
        <v>68</v>
      </c>
      <c r="Y326" t="b">
        <f t="shared" si="6"/>
        <v>0</v>
      </c>
    </row>
    <row r="327" spans="1:25" x14ac:dyDescent="0.25">
      <c r="A327" t="s">
        <v>454</v>
      </c>
      <c r="B327" s="3">
        <v>1741</v>
      </c>
      <c r="C327" s="3">
        <v>5</v>
      </c>
      <c r="D327" t="s">
        <v>91</v>
      </c>
      <c r="E327" t="s">
        <v>122</v>
      </c>
      <c r="F327" t="s">
        <v>459</v>
      </c>
      <c r="G327" s="3">
        <v>3</v>
      </c>
      <c r="H327" s="4">
        <v>1.973998816803358</v>
      </c>
      <c r="I327" s="4">
        <v>2</v>
      </c>
      <c r="J327" s="3">
        <v>0</v>
      </c>
      <c r="K327" t="s">
        <v>68</v>
      </c>
      <c r="M327" t="s">
        <v>455</v>
      </c>
      <c r="N327">
        <v>1741</v>
      </c>
      <c r="O327">
        <v>5</v>
      </c>
      <c r="P327" t="s">
        <v>91</v>
      </c>
      <c r="Q327" t="s">
        <v>460</v>
      </c>
      <c r="R327" t="s">
        <v>461</v>
      </c>
      <c r="S327">
        <v>3</v>
      </c>
      <c r="T327">
        <v>6.415078287517666</v>
      </c>
      <c r="U327">
        <v>8</v>
      </c>
      <c r="V327">
        <v>0</v>
      </c>
      <c r="W327" t="s">
        <v>68</v>
      </c>
      <c r="Y327" t="b">
        <f t="shared" si="6"/>
        <v>0</v>
      </c>
    </row>
    <row r="328" spans="1:25" x14ac:dyDescent="0.25">
      <c r="A328" t="s">
        <v>454</v>
      </c>
      <c r="B328" s="3">
        <v>1741</v>
      </c>
      <c r="C328" s="3">
        <v>6</v>
      </c>
      <c r="D328" t="s">
        <v>91</v>
      </c>
      <c r="E328" t="s">
        <v>106</v>
      </c>
      <c r="F328" t="s">
        <v>462</v>
      </c>
      <c r="G328" s="3">
        <v>4</v>
      </c>
      <c r="H328" s="4">
        <v>1.800003696149203</v>
      </c>
      <c r="I328" s="4">
        <v>2</v>
      </c>
      <c r="J328" s="3">
        <v>0</v>
      </c>
      <c r="K328" t="s">
        <v>68</v>
      </c>
      <c r="M328" t="s">
        <v>455</v>
      </c>
      <c r="N328">
        <v>1741</v>
      </c>
      <c r="O328">
        <v>6</v>
      </c>
      <c r="P328" t="s">
        <v>91</v>
      </c>
      <c r="Q328" t="s">
        <v>312</v>
      </c>
      <c r="R328" t="s">
        <v>463</v>
      </c>
      <c r="S328">
        <v>4</v>
      </c>
      <c r="T328">
        <v>5.8150929006571861</v>
      </c>
      <c r="U328">
        <v>8</v>
      </c>
      <c r="V328">
        <v>0</v>
      </c>
      <c r="W328" t="s">
        <v>68</v>
      </c>
      <c r="Y328" t="b">
        <f t="shared" si="6"/>
        <v>0</v>
      </c>
    </row>
    <row r="329" spans="1:25" x14ac:dyDescent="0.25">
      <c r="A329" t="s">
        <v>454</v>
      </c>
      <c r="B329" s="3">
        <v>1741</v>
      </c>
      <c r="C329" s="3">
        <v>7</v>
      </c>
      <c r="D329" t="s">
        <v>91</v>
      </c>
      <c r="E329" t="s">
        <v>443</v>
      </c>
      <c r="F329" t="s">
        <v>464</v>
      </c>
      <c r="G329" s="3">
        <v>5</v>
      </c>
      <c r="H329" s="4">
        <v>1.4145621105038171</v>
      </c>
      <c r="I329" s="4">
        <v>1</v>
      </c>
      <c r="J329" s="3">
        <v>0</v>
      </c>
      <c r="K329" t="s">
        <v>68</v>
      </c>
      <c r="M329" t="s">
        <v>455</v>
      </c>
      <c r="N329">
        <v>1741</v>
      </c>
      <c r="O329">
        <v>7</v>
      </c>
      <c r="P329" t="s">
        <v>91</v>
      </c>
      <c r="Q329" t="s">
        <v>318</v>
      </c>
      <c r="R329" t="s">
        <v>465</v>
      </c>
      <c r="S329">
        <v>5</v>
      </c>
      <c r="T329">
        <v>5.0617365352166184</v>
      </c>
      <c r="U329">
        <v>4</v>
      </c>
      <c r="V329">
        <v>0</v>
      </c>
      <c r="W329" t="s">
        <v>68</v>
      </c>
      <c r="Y329" t="b">
        <f t="shared" si="6"/>
        <v>0</v>
      </c>
    </row>
    <row r="330" spans="1:25" x14ac:dyDescent="0.25">
      <c r="A330" t="s">
        <v>454</v>
      </c>
      <c r="B330" s="3">
        <v>1741</v>
      </c>
      <c r="C330" s="3">
        <v>8</v>
      </c>
      <c r="D330" t="s">
        <v>91</v>
      </c>
      <c r="E330" t="s">
        <v>153</v>
      </c>
      <c r="F330" t="s">
        <v>232</v>
      </c>
      <c r="G330" s="3">
        <v>6</v>
      </c>
      <c r="H330" s="4">
        <v>1.3087261437860389</v>
      </c>
      <c r="I330" s="4">
        <v>1</v>
      </c>
      <c r="J330" s="3">
        <v>0</v>
      </c>
      <c r="K330" t="s">
        <v>68</v>
      </c>
      <c r="M330" t="s">
        <v>455</v>
      </c>
      <c r="N330">
        <v>1741</v>
      </c>
      <c r="O330">
        <v>8</v>
      </c>
      <c r="P330" t="s">
        <v>91</v>
      </c>
      <c r="Q330" t="s">
        <v>122</v>
      </c>
      <c r="R330" t="s">
        <v>466</v>
      </c>
      <c r="S330">
        <v>6</v>
      </c>
      <c r="T330">
        <v>2.957151640974808</v>
      </c>
      <c r="U330">
        <v>3</v>
      </c>
      <c r="V330">
        <v>0</v>
      </c>
      <c r="W330" t="s">
        <v>68</v>
      </c>
      <c r="Y330" t="b">
        <f t="shared" si="6"/>
        <v>0</v>
      </c>
    </row>
    <row r="331" spans="1:25" x14ac:dyDescent="0.25">
      <c r="A331" t="s">
        <v>454</v>
      </c>
      <c r="B331" s="3">
        <v>1741</v>
      </c>
      <c r="C331" s="3">
        <v>9</v>
      </c>
      <c r="D331" t="s">
        <v>91</v>
      </c>
      <c r="E331" t="s">
        <v>268</v>
      </c>
      <c r="F331" t="s">
        <v>288</v>
      </c>
      <c r="G331" s="3">
        <v>7</v>
      </c>
      <c r="H331" s="4">
        <v>1.1645385531497521</v>
      </c>
      <c r="I331" s="4">
        <v>1</v>
      </c>
      <c r="J331" s="3">
        <v>0</v>
      </c>
      <c r="K331" t="s">
        <v>68</v>
      </c>
      <c r="M331" t="s">
        <v>455</v>
      </c>
      <c r="N331">
        <v>1741</v>
      </c>
      <c r="O331">
        <v>9</v>
      </c>
      <c r="P331" t="s">
        <v>91</v>
      </c>
      <c r="Q331" t="s">
        <v>250</v>
      </c>
      <c r="R331" t="s">
        <v>251</v>
      </c>
      <c r="S331">
        <v>7</v>
      </c>
      <c r="T331">
        <v>2.9178700433664368</v>
      </c>
      <c r="U331">
        <v>4</v>
      </c>
      <c r="V331">
        <v>0</v>
      </c>
      <c r="W331" t="s">
        <v>68</v>
      </c>
      <c r="Y331" t="b">
        <f t="shared" si="6"/>
        <v>0</v>
      </c>
    </row>
    <row r="332" spans="1:25" x14ac:dyDescent="0.25">
      <c r="A332" t="s">
        <v>454</v>
      </c>
      <c r="B332" s="3">
        <v>1741</v>
      </c>
      <c r="C332" s="3">
        <v>10</v>
      </c>
      <c r="D332" t="s">
        <v>91</v>
      </c>
      <c r="E332" t="s">
        <v>155</v>
      </c>
      <c r="F332" t="s">
        <v>157</v>
      </c>
      <c r="G332" s="3">
        <v>8</v>
      </c>
      <c r="H332" s="4">
        <v>1.058835440327845</v>
      </c>
      <c r="I332" s="4">
        <v>1</v>
      </c>
      <c r="J332" s="3">
        <v>0</v>
      </c>
      <c r="K332" t="s">
        <v>68</v>
      </c>
      <c r="M332" t="s">
        <v>455</v>
      </c>
      <c r="N332">
        <v>1741</v>
      </c>
      <c r="O332">
        <v>10</v>
      </c>
      <c r="P332" t="s">
        <v>91</v>
      </c>
      <c r="Q332" t="s">
        <v>126</v>
      </c>
      <c r="R332" t="s">
        <v>305</v>
      </c>
      <c r="S332">
        <v>8</v>
      </c>
      <c r="T332">
        <v>2.3299743621811819</v>
      </c>
      <c r="U332">
        <v>2</v>
      </c>
      <c r="V332">
        <v>0</v>
      </c>
      <c r="W332" t="s">
        <v>68</v>
      </c>
      <c r="Y332" t="b">
        <f t="shared" si="6"/>
        <v>0</v>
      </c>
    </row>
    <row r="333" spans="1:25" x14ac:dyDescent="0.25">
      <c r="A333" t="s">
        <v>454</v>
      </c>
      <c r="B333" s="3">
        <v>1741</v>
      </c>
      <c r="C333" s="3">
        <v>11</v>
      </c>
      <c r="D333" t="s">
        <v>91</v>
      </c>
      <c r="E333" t="s">
        <v>140</v>
      </c>
      <c r="F333" t="s">
        <v>141</v>
      </c>
      <c r="G333" s="3">
        <v>9</v>
      </c>
      <c r="H333" s="4">
        <v>0.92539421904715313</v>
      </c>
      <c r="I333" s="4">
        <v>1</v>
      </c>
      <c r="J333" s="3">
        <v>0</v>
      </c>
      <c r="K333" t="s">
        <v>68</v>
      </c>
      <c r="M333" t="s">
        <v>455</v>
      </c>
      <c r="N333">
        <v>1741</v>
      </c>
      <c r="O333">
        <v>11</v>
      </c>
      <c r="P333" t="s">
        <v>91</v>
      </c>
      <c r="Q333" t="s">
        <v>96</v>
      </c>
      <c r="R333" t="s">
        <v>97</v>
      </c>
      <c r="S333">
        <v>9</v>
      </c>
      <c r="T333">
        <v>1.845054426958044</v>
      </c>
      <c r="U333">
        <v>2</v>
      </c>
      <c r="V333">
        <v>0</v>
      </c>
      <c r="W333" t="s">
        <v>68</v>
      </c>
      <c r="Y333" t="b">
        <f t="shared" si="6"/>
        <v>0</v>
      </c>
    </row>
    <row r="334" spans="1:25" x14ac:dyDescent="0.25">
      <c r="A334" t="s">
        <v>454</v>
      </c>
      <c r="B334" s="3">
        <v>1741</v>
      </c>
      <c r="C334" s="3">
        <v>12</v>
      </c>
      <c r="D334" t="s">
        <v>91</v>
      </c>
      <c r="E334" t="s">
        <v>467</v>
      </c>
      <c r="F334" t="s">
        <v>468</v>
      </c>
      <c r="G334" s="3">
        <v>10</v>
      </c>
      <c r="H334" s="4">
        <v>0.89204507440071679</v>
      </c>
      <c r="I334" s="4">
        <v>1</v>
      </c>
      <c r="J334" s="3">
        <v>0</v>
      </c>
      <c r="K334" t="s">
        <v>68</v>
      </c>
      <c r="M334" t="s">
        <v>455</v>
      </c>
      <c r="N334">
        <v>1741</v>
      </c>
      <c r="O334">
        <v>12</v>
      </c>
      <c r="P334" t="s">
        <v>91</v>
      </c>
      <c r="Q334" t="s">
        <v>172</v>
      </c>
      <c r="R334" t="s">
        <v>189</v>
      </c>
      <c r="S334">
        <v>10</v>
      </c>
      <c r="T334">
        <v>1.6996162565323449</v>
      </c>
      <c r="U334">
        <v>2</v>
      </c>
      <c r="V334">
        <v>0</v>
      </c>
      <c r="W334" t="s">
        <v>68</v>
      </c>
      <c r="Y334" t="b">
        <f t="shared" si="6"/>
        <v>0</v>
      </c>
    </row>
    <row r="337" spans="1:25" ht="15.75" x14ac:dyDescent="0.3">
      <c r="A337" s="12" t="s">
        <v>469</v>
      </c>
      <c r="M337" s="12" t="s">
        <v>469</v>
      </c>
    </row>
    <row r="338" spans="1:25" ht="30.75" thickBot="1" x14ac:dyDescent="0.3">
      <c r="A338" s="2" t="s">
        <v>80</v>
      </c>
      <c r="B338" s="2" t="s">
        <v>13</v>
      </c>
      <c r="C338" s="2" t="s">
        <v>81</v>
      </c>
      <c r="D338" s="2" t="s">
        <v>82</v>
      </c>
      <c r="E338" s="2" t="s">
        <v>83</v>
      </c>
      <c r="F338" s="2" t="s">
        <v>84</v>
      </c>
      <c r="G338" s="2" t="s">
        <v>85</v>
      </c>
      <c r="H338" s="2" t="s">
        <v>86</v>
      </c>
      <c r="I338" s="2" t="s">
        <v>87</v>
      </c>
      <c r="J338" s="2" t="s">
        <v>88</v>
      </c>
      <c r="K338" s="2" t="s">
        <v>89</v>
      </c>
      <c r="M338" s="2" t="s">
        <v>80</v>
      </c>
      <c r="N338" s="2" t="s">
        <v>13</v>
      </c>
      <c r="O338" s="2" t="s">
        <v>81</v>
      </c>
      <c r="P338" s="2" t="s">
        <v>82</v>
      </c>
      <c r="Q338" s="2" t="s">
        <v>83</v>
      </c>
      <c r="R338" s="2" t="s">
        <v>84</v>
      </c>
      <c r="S338" s="2" t="s">
        <v>85</v>
      </c>
      <c r="T338" s="2" t="s">
        <v>86</v>
      </c>
      <c r="U338" s="2" t="s">
        <v>87</v>
      </c>
      <c r="V338" s="2" t="s">
        <v>88</v>
      </c>
      <c r="W338" s="2" t="s">
        <v>89</v>
      </c>
    </row>
    <row r="339" spans="1:25" x14ac:dyDescent="0.25">
      <c r="A339" t="s">
        <v>470</v>
      </c>
      <c r="B339" s="3">
        <v>1742</v>
      </c>
      <c r="C339" s="3">
        <v>1</v>
      </c>
      <c r="J339" s="3">
        <v>0</v>
      </c>
      <c r="K339" t="s">
        <v>68</v>
      </c>
      <c r="M339" t="s">
        <v>471</v>
      </c>
      <c r="N339">
        <v>1742</v>
      </c>
      <c r="O339">
        <v>1</v>
      </c>
      <c r="V339">
        <v>0</v>
      </c>
      <c r="W339" t="s">
        <v>68</v>
      </c>
      <c r="Y339" t="b">
        <f t="shared" si="6"/>
        <v>1</v>
      </c>
    </row>
    <row r="340" spans="1:25" x14ac:dyDescent="0.25">
      <c r="A340" t="s">
        <v>470</v>
      </c>
      <c r="B340" s="3">
        <v>1742</v>
      </c>
      <c r="C340" s="3">
        <v>2</v>
      </c>
      <c r="J340" s="3">
        <v>0</v>
      </c>
      <c r="K340" t="s">
        <v>68</v>
      </c>
      <c r="M340" t="s">
        <v>471</v>
      </c>
      <c r="N340">
        <v>1742</v>
      </c>
      <c r="O340">
        <v>2</v>
      </c>
      <c r="V340">
        <v>0</v>
      </c>
      <c r="W340" t="s">
        <v>68</v>
      </c>
      <c r="Y340" t="b">
        <f t="shared" si="6"/>
        <v>1</v>
      </c>
    </row>
    <row r="341" spans="1:25" x14ac:dyDescent="0.25">
      <c r="A341" t="s">
        <v>470</v>
      </c>
      <c r="B341" s="3">
        <v>1742</v>
      </c>
      <c r="C341" s="3">
        <v>3</v>
      </c>
      <c r="D341" t="s">
        <v>91</v>
      </c>
      <c r="E341" t="s">
        <v>274</v>
      </c>
      <c r="F341" t="s">
        <v>275</v>
      </c>
      <c r="G341" s="3">
        <v>1</v>
      </c>
      <c r="H341" s="4">
        <v>23.793405017436129</v>
      </c>
      <c r="I341" s="4">
        <v>23</v>
      </c>
      <c r="J341" s="3">
        <v>0</v>
      </c>
      <c r="K341" t="s">
        <v>68</v>
      </c>
      <c r="M341" t="s">
        <v>471</v>
      </c>
      <c r="N341">
        <v>1742</v>
      </c>
      <c r="O341">
        <v>3</v>
      </c>
      <c r="P341" t="s">
        <v>91</v>
      </c>
      <c r="Q341" t="s">
        <v>122</v>
      </c>
      <c r="R341" t="s">
        <v>123</v>
      </c>
      <c r="S341">
        <v>1</v>
      </c>
      <c r="T341">
        <v>2.957151640974808</v>
      </c>
      <c r="U341">
        <v>3</v>
      </c>
      <c r="V341">
        <v>0</v>
      </c>
      <c r="W341" t="s">
        <v>68</v>
      </c>
      <c r="Y341" t="b">
        <f t="shared" si="6"/>
        <v>0</v>
      </c>
    </row>
    <row r="342" spans="1:25" x14ac:dyDescent="0.25">
      <c r="A342" t="s">
        <v>470</v>
      </c>
      <c r="B342" s="3">
        <v>1742</v>
      </c>
      <c r="C342" s="3">
        <v>4</v>
      </c>
      <c r="D342" t="s">
        <v>91</v>
      </c>
      <c r="E342" t="s">
        <v>126</v>
      </c>
      <c r="F342" t="s">
        <v>179</v>
      </c>
      <c r="G342" s="3">
        <v>2</v>
      </c>
      <c r="H342" s="4">
        <v>6.891505377097686</v>
      </c>
      <c r="I342" s="4">
        <v>7</v>
      </c>
      <c r="J342" s="3">
        <v>0</v>
      </c>
      <c r="K342" t="s">
        <v>68</v>
      </c>
      <c r="M342" t="s">
        <v>471</v>
      </c>
      <c r="N342">
        <v>1742</v>
      </c>
      <c r="O342">
        <v>4</v>
      </c>
      <c r="P342" t="s">
        <v>91</v>
      </c>
      <c r="Q342" t="s">
        <v>106</v>
      </c>
      <c r="R342" t="s">
        <v>217</v>
      </c>
      <c r="S342">
        <v>2</v>
      </c>
      <c r="T342">
        <v>2.9082646647342631</v>
      </c>
      <c r="U342">
        <v>4</v>
      </c>
      <c r="V342">
        <v>0</v>
      </c>
      <c r="W342" t="s">
        <v>68</v>
      </c>
      <c r="Y342" t="b">
        <f t="shared" si="6"/>
        <v>0</v>
      </c>
    </row>
    <row r="343" spans="1:25" x14ac:dyDescent="0.25">
      <c r="A343" t="s">
        <v>470</v>
      </c>
      <c r="B343" s="3">
        <v>1742</v>
      </c>
      <c r="C343" s="3">
        <v>5</v>
      </c>
      <c r="D343" t="s">
        <v>91</v>
      </c>
      <c r="E343" t="s">
        <v>472</v>
      </c>
      <c r="F343" t="s">
        <v>473</v>
      </c>
      <c r="G343" s="3">
        <v>3</v>
      </c>
      <c r="H343" s="4">
        <v>3.2138280791369911</v>
      </c>
      <c r="I343" s="4">
        <v>3</v>
      </c>
      <c r="J343" s="3">
        <v>0</v>
      </c>
      <c r="K343" t="s">
        <v>68</v>
      </c>
      <c r="M343" t="s">
        <v>471</v>
      </c>
      <c r="N343">
        <v>1742</v>
      </c>
      <c r="O343">
        <v>5</v>
      </c>
      <c r="P343" t="s">
        <v>91</v>
      </c>
      <c r="Q343" t="s">
        <v>92</v>
      </c>
      <c r="R343" t="s">
        <v>93</v>
      </c>
      <c r="S343">
        <v>3</v>
      </c>
      <c r="T343">
        <v>2.758172229962677</v>
      </c>
      <c r="U343">
        <v>2</v>
      </c>
      <c r="V343">
        <v>0</v>
      </c>
      <c r="W343" t="s">
        <v>68</v>
      </c>
      <c r="Y343" t="b">
        <f t="shared" si="6"/>
        <v>0</v>
      </c>
    </row>
    <row r="344" spans="1:25" x14ac:dyDescent="0.25">
      <c r="A344" t="s">
        <v>470</v>
      </c>
      <c r="B344" s="3">
        <v>1742</v>
      </c>
      <c r="C344" s="3">
        <v>6</v>
      </c>
      <c r="D344" t="s">
        <v>91</v>
      </c>
      <c r="E344" t="s">
        <v>371</v>
      </c>
      <c r="F344" t="s">
        <v>372</v>
      </c>
      <c r="G344" s="3">
        <v>4</v>
      </c>
      <c r="H344" s="4">
        <v>2.485246173481658</v>
      </c>
      <c r="I344" s="4">
        <v>2</v>
      </c>
      <c r="J344" s="3">
        <v>0</v>
      </c>
      <c r="K344" t="s">
        <v>68</v>
      </c>
      <c r="M344" t="s">
        <v>471</v>
      </c>
      <c r="N344">
        <v>1742</v>
      </c>
      <c r="O344">
        <v>6</v>
      </c>
      <c r="P344" t="s">
        <v>91</v>
      </c>
      <c r="Q344" t="s">
        <v>318</v>
      </c>
      <c r="R344" t="s">
        <v>319</v>
      </c>
      <c r="S344">
        <v>4</v>
      </c>
      <c r="T344">
        <v>2.383695148500244</v>
      </c>
      <c r="U344">
        <v>2</v>
      </c>
      <c r="V344">
        <v>0</v>
      </c>
      <c r="W344" t="s">
        <v>68</v>
      </c>
      <c r="Y344" t="b">
        <f t="shared" si="6"/>
        <v>0</v>
      </c>
    </row>
    <row r="345" spans="1:25" x14ac:dyDescent="0.25">
      <c r="A345" t="s">
        <v>470</v>
      </c>
      <c r="B345" s="3">
        <v>1742</v>
      </c>
      <c r="C345" s="3">
        <v>7</v>
      </c>
      <c r="D345" t="s">
        <v>91</v>
      </c>
      <c r="E345" t="s">
        <v>391</v>
      </c>
      <c r="F345" t="s">
        <v>392</v>
      </c>
      <c r="G345" s="3">
        <v>5</v>
      </c>
      <c r="H345" s="4">
        <v>1.390427086507561</v>
      </c>
      <c r="I345" s="4">
        <v>1</v>
      </c>
      <c r="J345" s="3">
        <v>0</v>
      </c>
      <c r="K345" t="s">
        <v>68</v>
      </c>
      <c r="M345" t="s">
        <v>471</v>
      </c>
      <c r="N345">
        <v>1742</v>
      </c>
      <c r="O345">
        <v>7</v>
      </c>
      <c r="P345" t="s">
        <v>91</v>
      </c>
      <c r="Q345" t="s">
        <v>412</v>
      </c>
      <c r="R345" t="s">
        <v>413</v>
      </c>
      <c r="S345">
        <v>5</v>
      </c>
      <c r="T345">
        <v>2</v>
      </c>
      <c r="U345">
        <v>2</v>
      </c>
      <c r="V345">
        <v>0</v>
      </c>
      <c r="W345" t="s">
        <v>68</v>
      </c>
      <c r="Y345" t="b">
        <f t="shared" si="6"/>
        <v>0</v>
      </c>
    </row>
    <row r="346" spans="1:25" x14ac:dyDescent="0.25">
      <c r="A346" t="s">
        <v>470</v>
      </c>
      <c r="B346" s="3">
        <v>1742</v>
      </c>
      <c r="C346" s="3">
        <v>8</v>
      </c>
      <c r="D346" t="s">
        <v>91</v>
      </c>
      <c r="E346" t="s">
        <v>335</v>
      </c>
      <c r="F346" t="s">
        <v>337</v>
      </c>
      <c r="G346" s="3">
        <v>6</v>
      </c>
      <c r="H346" s="4">
        <v>1.189537847683749</v>
      </c>
      <c r="I346" s="4">
        <v>1</v>
      </c>
      <c r="J346" s="3">
        <v>0</v>
      </c>
      <c r="K346" t="s">
        <v>68</v>
      </c>
      <c r="M346" t="s">
        <v>471</v>
      </c>
      <c r="N346">
        <v>1742</v>
      </c>
      <c r="O346">
        <v>8</v>
      </c>
      <c r="P346" t="s">
        <v>91</v>
      </c>
      <c r="Q346" t="s">
        <v>341</v>
      </c>
      <c r="R346" t="s">
        <v>474</v>
      </c>
      <c r="S346">
        <v>6</v>
      </c>
      <c r="T346">
        <v>1.626563760016408</v>
      </c>
      <c r="U346">
        <v>3</v>
      </c>
      <c r="V346">
        <v>0</v>
      </c>
      <c r="W346" t="s">
        <v>68</v>
      </c>
      <c r="Y346" t="b">
        <f t="shared" si="6"/>
        <v>0</v>
      </c>
    </row>
    <row r="347" spans="1:25" x14ac:dyDescent="0.25">
      <c r="A347" t="s">
        <v>470</v>
      </c>
      <c r="B347" s="3">
        <v>1742</v>
      </c>
      <c r="C347" s="3">
        <v>9</v>
      </c>
      <c r="D347" t="s">
        <v>91</v>
      </c>
      <c r="E347" t="s">
        <v>441</v>
      </c>
      <c r="F347" t="s">
        <v>442</v>
      </c>
      <c r="G347" s="3">
        <v>7</v>
      </c>
      <c r="H347" s="4">
        <v>1</v>
      </c>
      <c r="I347" s="4">
        <v>1</v>
      </c>
      <c r="J347" s="3">
        <v>0</v>
      </c>
      <c r="K347" t="s">
        <v>68</v>
      </c>
      <c r="M347" t="s">
        <v>471</v>
      </c>
      <c r="N347">
        <v>1742</v>
      </c>
      <c r="O347">
        <v>9</v>
      </c>
      <c r="P347" t="s">
        <v>91</v>
      </c>
      <c r="Q347" t="s">
        <v>443</v>
      </c>
      <c r="R347" t="s">
        <v>475</v>
      </c>
      <c r="S347">
        <v>7</v>
      </c>
      <c r="T347">
        <v>1.390392248008131</v>
      </c>
      <c r="U347">
        <v>1</v>
      </c>
      <c r="V347">
        <v>0</v>
      </c>
      <c r="W347" t="s">
        <v>68</v>
      </c>
      <c r="Y347" t="b">
        <f t="shared" si="6"/>
        <v>0</v>
      </c>
    </row>
    <row r="348" spans="1:25" x14ac:dyDescent="0.25">
      <c r="A348" t="s">
        <v>470</v>
      </c>
      <c r="B348" s="3">
        <v>1742</v>
      </c>
      <c r="C348" s="3">
        <v>10</v>
      </c>
      <c r="D348" t="s">
        <v>91</v>
      </c>
      <c r="E348" t="s">
        <v>122</v>
      </c>
      <c r="F348" t="s">
        <v>289</v>
      </c>
      <c r="G348" s="3">
        <v>8</v>
      </c>
      <c r="H348" s="4">
        <v>0.98699940840167888</v>
      </c>
      <c r="I348" s="4">
        <v>1</v>
      </c>
      <c r="J348" s="3">
        <v>0</v>
      </c>
      <c r="K348" t="s">
        <v>68</v>
      </c>
      <c r="M348" t="s">
        <v>471</v>
      </c>
      <c r="N348">
        <v>1742</v>
      </c>
      <c r="O348">
        <v>10</v>
      </c>
      <c r="P348" t="s">
        <v>91</v>
      </c>
      <c r="Q348" t="s">
        <v>476</v>
      </c>
      <c r="R348" t="s">
        <v>477</v>
      </c>
      <c r="S348">
        <v>8</v>
      </c>
      <c r="T348">
        <v>1.38464537373305</v>
      </c>
      <c r="U348">
        <v>1</v>
      </c>
      <c r="V348">
        <v>0</v>
      </c>
      <c r="W348" t="s">
        <v>68</v>
      </c>
      <c r="Y348" t="b">
        <f t="shared" si="6"/>
        <v>0</v>
      </c>
    </row>
    <row r="349" spans="1:25" x14ac:dyDescent="0.25">
      <c r="A349" t="s">
        <v>470</v>
      </c>
      <c r="B349" s="3">
        <v>1742</v>
      </c>
      <c r="C349" s="3">
        <v>11</v>
      </c>
      <c r="D349" t="s">
        <v>91</v>
      </c>
      <c r="E349" t="s">
        <v>190</v>
      </c>
      <c r="F349" t="s">
        <v>375</v>
      </c>
      <c r="G349" s="3">
        <v>9</v>
      </c>
      <c r="H349" s="4">
        <v>0.97092414079348222</v>
      </c>
      <c r="I349" s="4">
        <v>1</v>
      </c>
      <c r="J349" s="3">
        <v>0</v>
      </c>
      <c r="K349" t="s">
        <v>68</v>
      </c>
      <c r="M349" t="s">
        <v>471</v>
      </c>
      <c r="N349">
        <v>1742</v>
      </c>
      <c r="O349">
        <v>11</v>
      </c>
      <c r="P349" t="s">
        <v>91</v>
      </c>
      <c r="Q349" t="s">
        <v>210</v>
      </c>
      <c r="R349" t="s">
        <v>212</v>
      </c>
      <c r="S349">
        <v>9</v>
      </c>
      <c r="T349">
        <v>1.361055384439503</v>
      </c>
      <c r="U349">
        <v>1</v>
      </c>
      <c r="V349">
        <v>0</v>
      </c>
      <c r="W349" t="s">
        <v>68</v>
      </c>
      <c r="Y349" t="b">
        <f t="shared" si="6"/>
        <v>0</v>
      </c>
    </row>
    <row r="350" spans="1:25" x14ac:dyDescent="0.25">
      <c r="A350" t="s">
        <v>470</v>
      </c>
      <c r="B350" s="3">
        <v>1742</v>
      </c>
      <c r="C350" s="3">
        <v>12</v>
      </c>
      <c r="D350" t="s">
        <v>91</v>
      </c>
      <c r="E350" t="s">
        <v>168</v>
      </c>
      <c r="F350" t="s">
        <v>169</v>
      </c>
      <c r="G350" s="3">
        <v>10</v>
      </c>
      <c r="H350" s="4">
        <v>0.95342214939482062</v>
      </c>
      <c r="I350" s="4">
        <v>1</v>
      </c>
      <c r="J350" s="3">
        <v>0</v>
      </c>
      <c r="K350" t="s">
        <v>68</v>
      </c>
      <c r="M350" t="s">
        <v>471</v>
      </c>
      <c r="N350">
        <v>1742</v>
      </c>
      <c r="O350">
        <v>12</v>
      </c>
      <c r="P350" t="s">
        <v>91</v>
      </c>
      <c r="Q350" t="s">
        <v>351</v>
      </c>
      <c r="R350" t="s">
        <v>352</v>
      </c>
      <c r="S350">
        <v>10</v>
      </c>
      <c r="T350">
        <v>1.360613509754919</v>
      </c>
      <c r="U350">
        <v>1</v>
      </c>
      <c r="V350">
        <v>0</v>
      </c>
      <c r="W350" t="s">
        <v>68</v>
      </c>
      <c r="Y350" t="b">
        <f t="shared" si="6"/>
        <v>0</v>
      </c>
    </row>
    <row r="353" spans="1:25" ht="15.75" x14ac:dyDescent="0.3">
      <c r="A353" s="12" t="s">
        <v>478</v>
      </c>
      <c r="M353" s="12" t="s">
        <v>478</v>
      </c>
    </row>
    <row r="354" spans="1:25" ht="30.75" thickBot="1" x14ac:dyDescent="0.3">
      <c r="A354" s="2" t="s">
        <v>80</v>
      </c>
      <c r="B354" s="2" t="s">
        <v>13</v>
      </c>
      <c r="C354" s="2" t="s">
        <v>81</v>
      </c>
      <c r="D354" s="2" t="s">
        <v>82</v>
      </c>
      <c r="E354" s="2" t="s">
        <v>83</v>
      </c>
      <c r="F354" s="2" t="s">
        <v>84</v>
      </c>
      <c r="G354" s="2" t="s">
        <v>85</v>
      </c>
      <c r="H354" s="2" t="s">
        <v>86</v>
      </c>
      <c r="I354" s="2" t="s">
        <v>87</v>
      </c>
      <c r="J354" s="2" t="s">
        <v>88</v>
      </c>
      <c r="K354" s="2" t="s">
        <v>89</v>
      </c>
      <c r="M354" s="2" t="s">
        <v>80</v>
      </c>
      <c r="N354" s="2" t="s">
        <v>13</v>
      </c>
      <c r="O354" s="2" t="s">
        <v>81</v>
      </c>
      <c r="P354" s="2" t="s">
        <v>82</v>
      </c>
      <c r="Q354" s="2" t="s">
        <v>83</v>
      </c>
      <c r="R354" s="2" t="s">
        <v>84</v>
      </c>
      <c r="S354" s="2" t="s">
        <v>85</v>
      </c>
      <c r="T354" s="2" t="s">
        <v>86</v>
      </c>
      <c r="U354" s="2" t="s">
        <v>87</v>
      </c>
      <c r="V354" s="2" t="s">
        <v>88</v>
      </c>
      <c r="W354" s="2" t="s">
        <v>89</v>
      </c>
    </row>
    <row r="355" spans="1:25" x14ac:dyDescent="0.25">
      <c r="A355" t="s">
        <v>479</v>
      </c>
      <c r="B355" s="3">
        <v>1743</v>
      </c>
      <c r="C355" s="3">
        <v>1</v>
      </c>
      <c r="J355" s="3">
        <v>0</v>
      </c>
      <c r="K355" t="s">
        <v>68</v>
      </c>
      <c r="M355" t="s">
        <v>480</v>
      </c>
      <c r="N355">
        <v>1743</v>
      </c>
      <c r="O355">
        <v>1</v>
      </c>
      <c r="V355">
        <v>0</v>
      </c>
      <c r="W355" t="s">
        <v>68</v>
      </c>
      <c r="Y355" t="b">
        <f t="shared" si="6"/>
        <v>1</v>
      </c>
    </row>
    <row r="356" spans="1:25" x14ac:dyDescent="0.25">
      <c r="A356" t="s">
        <v>479</v>
      </c>
      <c r="B356" s="3">
        <v>1743</v>
      </c>
      <c r="C356" s="3">
        <v>2</v>
      </c>
      <c r="J356" s="3">
        <v>0</v>
      </c>
      <c r="K356" t="s">
        <v>68</v>
      </c>
      <c r="M356" t="s">
        <v>480</v>
      </c>
      <c r="N356">
        <v>1743</v>
      </c>
      <c r="O356">
        <v>2</v>
      </c>
      <c r="V356">
        <v>0</v>
      </c>
      <c r="W356" t="s">
        <v>68</v>
      </c>
      <c r="Y356" t="b">
        <f t="shared" si="6"/>
        <v>1</v>
      </c>
    </row>
    <row r="357" spans="1:25" x14ac:dyDescent="0.25">
      <c r="A357" t="s">
        <v>479</v>
      </c>
      <c r="B357" s="3">
        <v>1743</v>
      </c>
      <c r="C357" s="3">
        <v>3</v>
      </c>
      <c r="D357" t="s">
        <v>91</v>
      </c>
      <c r="E357" t="s">
        <v>318</v>
      </c>
      <c r="F357" t="s">
        <v>481</v>
      </c>
      <c r="G357" s="3">
        <v>1</v>
      </c>
      <c r="H357" s="4">
        <v>16.6269697851472</v>
      </c>
      <c r="I357" s="4">
        <v>12</v>
      </c>
      <c r="J357" s="3">
        <v>0</v>
      </c>
      <c r="K357" t="s">
        <v>68</v>
      </c>
      <c r="M357" t="s">
        <v>480</v>
      </c>
      <c r="N357">
        <v>1743</v>
      </c>
      <c r="O357">
        <v>3</v>
      </c>
      <c r="P357" t="s">
        <v>91</v>
      </c>
      <c r="Q357" t="s">
        <v>318</v>
      </c>
      <c r="R357" t="s">
        <v>319</v>
      </c>
      <c r="S357">
        <v>1</v>
      </c>
      <c r="T357">
        <v>12.772602352737641</v>
      </c>
      <c r="U357">
        <v>10</v>
      </c>
      <c r="V357">
        <v>0</v>
      </c>
      <c r="W357" t="s">
        <v>68</v>
      </c>
      <c r="Y357" t="b">
        <f t="shared" si="6"/>
        <v>1</v>
      </c>
    </row>
    <row r="358" spans="1:25" x14ac:dyDescent="0.25">
      <c r="A358" t="s">
        <v>479</v>
      </c>
      <c r="B358" s="3">
        <v>1743</v>
      </c>
      <c r="C358" s="3">
        <v>4</v>
      </c>
      <c r="D358" t="s">
        <v>91</v>
      </c>
      <c r="E358" t="s">
        <v>482</v>
      </c>
      <c r="F358" t="s">
        <v>483</v>
      </c>
      <c r="G358" s="3">
        <v>2</v>
      </c>
      <c r="H358" s="4">
        <v>10.21737271330384</v>
      </c>
      <c r="I358" s="4">
        <v>8</v>
      </c>
      <c r="J358" s="3">
        <v>0</v>
      </c>
      <c r="K358" t="s">
        <v>68</v>
      </c>
      <c r="M358" t="s">
        <v>480</v>
      </c>
      <c r="N358">
        <v>1743</v>
      </c>
      <c r="O358">
        <v>4</v>
      </c>
      <c r="P358" t="s">
        <v>91</v>
      </c>
      <c r="Q358" t="s">
        <v>149</v>
      </c>
      <c r="R358" t="s">
        <v>150</v>
      </c>
      <c r="S358">
        <v>2</v>
      </c>
      <c r="T358">
        <v>10.141100143733849</v>
      </c>
      <c r="U358">
        <v>8</v>
      </c>
      <c r="V358">
        <v>0</v>
      </c>
      <c r="W358" t="s">
        <v>68</v>
      </c>
      <c r="Y358" t="b">
        <f t="shared" si="6"/>
        <v>0</v>
      </c>
    </row>
    <row r="359" spans="1:25" x14ac:dyDescent="0.25">
      <c r="A359" t="s">
        <v>479</v>
      </c>
      <c r="B359" s="3">
        <v>1743</v>
      </c>
      <c r="C359" s="3">
        <v>5</v>
      </c>
      <c r="D359" t="s">
        <v>91</v>
      </c>
      <c r="E359" t="s">
        <v>190</v>
      </c>
      <c r="F359" t="s">
        <v>375</v>
      </c>
      <c r="G359" s="3">
        <v>3</v>
      </c>
      <c r="H359" s="4">
        <v>9.7092414079348224</v>
      </c>
      <c r="I359" s="4">
        <v>10</v>
      </c>
      <c r="J359" s="3">
        <v>0</v>
      </c>
      <c r="K359" t="s">
        <v>68</v>
      </c>
      <c r="M359" t="s">
        <v>480</v>
      </c>
      <c r="N359">
        <v>1743</v>
      </c>
      <c r="O359">
        <v>5</v>
      </c>
      <c r="P359" t="s">
        <v>91</v>
      </c>
      <c r="Q359" t="s">
        <v>153</v>
      </c>
      <c r="R359" t="s">
        <v>154</v>
      </c>
      <c r="S359">
        <v>3</v>
      </c>
      <c r="T359">
        <v>6.7078149863104519</v>
      </c>
      <c r="U359">
        <v>5</v>
      </c>
      <c r="V359">
        <v>0</v>
      </c>
      <c r="W359" t="s">
        <v>68</v>
      </c>
      <c r="Y359" t="b">
        <f t="shared" si="6"/>
        <v>0</v>
      </c>
    </row>
    <row r="360" spans="1:25" x14ac:dyDescent="0.25">
      <c r="A360" t="s">
        <v>479</v>
      </c>
      <c r="B360" s="3">
        <v>1743</v>
      </c>
      <c r="C360" s="3">
        <v>6</v>
      </c>
      <c r="D360" t="s">
        <v>91</v>
      </c>
      <c r="E360" t="s">
        <v>412</v>
      </c>
      <c r="F360" t="s">
        <v>413</v>
      </c>
      <c r="G360" s="3">
        <v>4</v>
      </c>
      <c r="H360" s="4">
        <v>6</v>
      </c>
      <c r="I360" s="4">
        <v>6</v>
      </c>
      <c r="J360" s="3">
        <v>0</v>
      </c>
      <c r="K360" t="s">
        <v>68</v>
      </c>
      <c r="M360" t="s">
        <v>480</v>
      </c>
      <c r="N360">
        <v>1743</v>
      </c>
      <c r="O360">
        <v>6</v>
      </c>
      <c r="P360" t="s">
        <v>91</v>
      </c>
      <c r="Q360" t="s">
        <v>412</v>
      </c>
      <c r="R360" t="s">
        <v>413</v>
      </c>
      <c r="S360">
        <v>4</v>
      </c>
      <c r="T360">
        <v>6</v>
      </c>
      <c r="U360">
        <v>6</v>
      </c>
      <c r="V360">
        <v>0</v>
      </c>
      <c r="W360" t="s">
        <v>68</v>
      </c>
      <c r="Y360" t="b">
        <f t="shared" si="6"/>
        <v>1</v>
      </c>
    </row>
    <row r="361" spans="1:25" x14ac:dyDescent="0.25">
      <c r="A361" t="s">
        <v>479</v>
      </c>
      <c r="B361" s="3">
        <v>1743</v>
      </c>
      <c r="C361" s="3">
        <v>7</v>
      </c>
      <c r="D361" t="s">
        <v>91</v>
      </c>
      <c r="E361" t="s">
        <v>200</v>
      </c>
      <c r="F361" t="s">
        <v>484</v>
      </c>
      <c r="G361" s="3">
        <v>5</v>
      </c>
      <c r="H361" s="4">
        <v>5.1378154564172362</v>
      </c>
      <c r="I361" s="4">
        <v>6</v>
      </c>
      <c r="J361" s="3">
        <v>0</v>
      </c>
      <c r="K361" t="s">
        <v>68</v>
      </c>
      <c r="M361" t="s">
        <v>480</v>
      </c>
      <c r="N361">
        <v>1743</v>
      </c>
      <c r="O361">
        <v>7</v>
      </c>
      <c r="P361" t="s">
        <v>91</v>
      </c>
      <c r="Q361" t="s">
        <v>485</v>
      </c>
      <c r="R361" t="s">
        <v>486</v>
      </c>
      <c r="S361">
        <v>5</v>
      </c>
      <c r="T361">
        <v>5.50156626602078</v>
      </c>
      <c r="U361">
        <v>4</v>
      </c>
      <c r="V361">
        <v>0</v>
      </c>
      <c r="W361" t="s">
        <v>68</v>
      </c>
      <c r="Y361" t="b">
        <f t="shared" si="6"/>
        <v>0</v>
      </c>
    </row>
    <row r="362" spans="1:25" x14ac:dyDescent="0.25">
      <c r="A362" t="s">
        <v>479</v>
      </c>
      <c r="B362" s="3">
        <v>1743</v>
      </c>
      <c r="C362" s="3">
        <v>8</v>
      </c>
      <c r="D362" t="s">
        <v>91</v>
      </c>
      <c r="E362" t="s">
        <v>487</v>
      </c>
      <c r="F362" t="s">
        <v>488</v>
      </c>
      <c r="G362" s="3">
        <v>6</v>
      </c>
      <c r="H362" s="4">
        <v>4.2087859096298796</v>
      </c>
      <c r="I362" s="4">
        <v>4</v>
      </c>
      <c r="J362" s="3">
        <v>0</v>
      </c>
      <c r="K362" t="s">
        <v>68</v>
      </c>
      <c r="M362" t="s">
        <v>480</v>
      </c>
      <c r="N362">
        <v>1743</v>
      </c>
      <c r="O362">
        <v>8</v>
      </c>
      <c r="P362" t="s">
        <v>91</v>
      </c>
      <c r="Q362" t="s">
        <v>205</v>
      </c>
      <c r="R362" t="s">
        <v>315</v>
      </c>
      <c r="S362">
        <v>6</v>
      </c>
      <c r="T362">
        <v>5.2796277667318616</v>
      </c>
      <c r="U362">
        <v>5</v>
      </c>
      <c r="V362">
        <v>0</v>
      </c>
      <c r="W362" t="s">
        <v>68</v>
      </c>
      <c r="Y362" t="b">
        <f t="shared" si="6"/>
        <v>0</v>
      </c>
    </row>
    <row r="363" spans="1:25" x14ac:dyDescent="0.25">
      <c r="A363" t="s">
        <v>479</v>
      </c>
      <c r="B363" s="3">
        <v>1743</v>
      </c>
      <c r="C363" s="3">
        <v>9</v>
      </c>
      <c r="D363" t="s">
        <v>91</v>
      </c>
      <c r="E363" t="s">
        <v>376</v>
      </c>
      <c r="F363" t="s">
        <v>489</v>
      </c>
      <c r="G363" s="3">
        <v>7</v>
      </c>
      <c r="H363" s="4">
        <v>2.7308165865842429</v>
      </c>
      <c r="I363" s="4">
        <v>3</v>
      </c>
      <c r="J363" s="3">
        <v>0</v>
      </c>
      <c r="K363" t="s">
        <v>68</v>
      </c>
      <c r="M363" t="s">
        <v>480</v>
      </c>
      <c r="N363">
        <v>1743</v>
      </c>
      <c r="O363">
        <v>9</v>
      </c>
      <c r="P363" t="s">
        <v>91</v>
      </c>
      <c r="Q363" t="s">
        <v>490</v>
      </c>
      <c r="R363" t="s">
        <v>491</v>
      </c>
      <c r="S363">
        <v>7</v>
      </c>
      <c r="T363">
        <v>3.7470524410606778</v>
      </c>
      <c r="U363">
        <v>5</v>
      </c>
      <c r="V363">
        <v>0</v>
      </c>
      <c r="W363" t="s">
        <v>68</v>
      </c>
      <c r="Y363" t="b">
        <f t="shared" si="6"/>
        <v>0</v>
      </c>
    </row>
    <row r="364" spans="1:25" x14ac:dyDescent="0.25">
      <c r="A364" t="s">
        <v>479</v>
      </c>
      <c r="B364" s="3">
        <v>1743</v>
      </c>
      <c r="C364" s="3">
        <v>10</v>
      </c>
      <c r="D364" t="s">
        <v>91</v>
      </c>
      <c r="E364" t="s">
        <v>416</v>
      </c>
      <c r="F364" t="s">
        <v>417</v>
      </c>
      <c r="G364" s="3">
        <v>8</v>
      </c>
      <c r="H364" s="4">
        <v>2.1596420751418801</v>
      </c>
      <c r="I364" s="4">
        <v>3</v>
      </c>
      <c r="J364" s="3">
        <v>0</v>
      </c>
      <c r="K364" t="s">
        <v>68</v>
      </c>
      <c r="M364" t="s">
        <v>480</v>
      </c>
      <c r="N364">
        <v>1743</v>
      </c>
      <c r="O364">
        <v>10</v>
      </c>
      <c r="P364" t="s">
        <v>91</v>
      </c>
      <c r="Q364" t="s">
        <v>128</v>
      </c>
      <c r="R364" t="s">
        <v>148</v>
      </c>
      <c r="S364">
        <v>8</v>
      </c>
      <c r="T364">
        <v>3.1390702163953801</v>
      </c>
      <c r="U364">
        <v>3</v>
      </c>
      <c r="V364">
        <v>0</v>
      </c>
      <c r="W364" t="s">
        <v>68</v>
      </c>
      <c r="Y364" t="b">
        <f t="shared" si="6"/>
        <v>0</v>
      </c>
    </row>
    <row r="365" spans="1:25" x14ac:dyDescent="0.25">
      <c r="A365" t="s">
        <v>479</v>
      </c>
      <c r="B365" s="3">
        <v>1743</v>
      </c>
      <c r="C365" s="3">
        <v>11</v>
      </c>
      <c r="D365" t="s">
        <v>91</v>
      </c>
      <c r="E365" t="s">
        <v>445</v>
      </c>
      <c r="F365" t="s">
        <v>446</v>
      </c>
      <c r="G365" s="3">
        <v>9</v>
      </c>
      <c r="H365" s="4">
        <v>2.0713968966108038</v>
      </c>
      <c r="I365" s="4">
        <v>2</v>
      </c>
      <c r="J365" s="3">
        <v>0</v>
      </c>
      <c r="K365" t="s">
        <v>68</v>
      </c>
      <c r="M365" t="s">
        <v>480</v>
      </c>
      <c r="N365">
        <v>1743</v>
      </c>
      <c r="O365">
        <v>11</v>
      </c>
      <c r="P365" t="s">
        <v>91</v>
      </c>
      <c r="Q365" t="s">
        <v>492</v>
      </c>
      <c r="R365" t="s">
        <v>493</v>
      </c>
      <c r="S365">
        <v>9</v>
      </c>
      <c r="T365">
        <v>2.7544798403930248</v>
      </c>
      <c r="U365">
        <v>2</v>
      </c>
      <c r="V365">
        <v>0</v>
      </c>
      <c r="W365" t="s">
        <v>68</v>
      </c>
      <c r="Y365" t="b">
        <f t="shared" si="6"/>
        <v>0</v>
      </c>
    </row>
    <row r="366" spans="1:25" x14ac:dyDescent="0.25">
      <c r="A366" t="s">
        <v>479</v>
      </c>
      <c r="B366" s="3">
        <v>1743</v>
      </c>
      <c r="C366" s="3">
        <v>12</v>
      </c>
      <c r="D366" t="s">
        <v>91</v>
      </c>
      <c r="E366" t="s">
        <v>268</v>
      </c>
      <c r="F366" t="s">
        <v>269</v>
      </c>
      <c r="G366" s="3">
        <v>10</v>
      </c>
      <c r="H366" s="4">
        <v>2</v>
      </c>
      <c r="I366" s="4">
        <v>2</v>
      </c>
      <c r="J366" s="3">
        <v>0</v>
      </c>
      <c r="K366" t="s">
        <v>68</v>
      </c>
      <c r="M366" t="s">
        <v>480</v>
      </c>
      <c r="N366">
        <v>1743</v>
      </c>
      <c r="O366">
        <v>12</v>
      </c>
      <c r="P366" t="s">
        <v>91</v>
      </c>
      <c r="Q366" t="s">
        <v>268</v>
      </c>
      <c r="R366" t="s">
        <v>494</v>
      </c>
      <c r="S366">
        <v>10</v>
      </c>
      <c r="T366">
        <v>2.4894576520162381</v>
      </c>
      <c r="U366">
        <v>2</v>
      </c>
      <c r="V366">
        <v>0</v>
      </c>
      <c r="W366" t="s">
        <v>68</v>
      </c>
      <c r="Y366" t="b">
        <f t="shared" si="6"/>
        <v>1</v>
      </c>
    </row>
    <row r="369" spans="1:25" ht="15.75" x14ac:dyDescent="0.3">
      <c r="A369" s="12" t="s">
        <v>495</v>
      </c>
      <c r="M369" s="12" t="s">
        <v>495</v>
      </c>
    </row>
    <row r="370" spans="1:25" ht="30.75" thickBot="1" x14ac:dyDescent="0.3">
      <c r="A370" s="2" t="s">
        <v>80</v>
      </c>
      <c r="B370" s="2" t="s">
        <v>13</v>
      </c>
      <c r="C370" s="2" t="s">
        <v>81</v>
      </c>
      <c r="D370" s="2" t="s">
        <v>82</v>
      </c>
      <c r="E370" s="2" t="s">
        <v>83</v>
      </c>
      <c r="F370" s="2" t="s">
        <v>84</v>
      </c>
      <c r="G370" s="2" t="s">
        <v>85</v>
      </c>
      <c r="H370" s="2" t="s">
        <v>86</v>
      </c>
      <c r="I370" s="2" t="s">
        <v>87</v>
      </c>
      <c r="J370" s="2" t="s">
        <v>88</v>
      </c>
      <c r="K370" s="2" t="s">
        <v>89</v>
      </c>
      <c r="M370" s="2" t="s">
        <v>80</v>
      </c>
      <c r="N370" s="2" t="s">
        <v>13</v>
      </c>
      <c r="O370" s="2" t="s">
        <v>81</v>
      </c>
      <c r="P370" s="2" t="s">
        <v>82</v>
      </c>
      <c r="Q370" s="2" t="s">
        <v>83</v>
      </c>
      <c r="R370" s="2" t="s">
        <v>84</v>
      </c>
      <c r="S370" s="2" t="s">
        <v>85</v>
      </c>
      <c r="T370" s="2" t="s">
        <v>86</v>
      </c>
      <c r="U370" s="2" t="s">
        <v>87</v>
      </c>
      <c r="V370" s="2" t="s">
        <v>88</v>
      </c>
      <c r="W370" s="2" t="s">
        <v>89</v>
      </c>
    </row>
    <row r="371" spans="1:25" x14ac:dyDescent="0.25">
      <c r="A371" t="s">
        <v>496</v>
      </c>
      <c r="B371" s="3">
        <v>1744</v>
      </c>
      <c r="C371" s="3">
        <v>1</v>
      </c>
      <c r="J371" s="3">
        <v>0</v>
      </c>
      <c r="K371" t="s">
        <v>68</v>
      </c>
      <c r="M371" t="s">
        <v>497</v>
      </c>
      <c r="N371">
        <v>1744</v>
      </c>
      <c r="O371">
        <v>1</v>
      </c>
      <c r="V371">
        <v>0</v>
      </c>
      <c r="W371" t="s">
        <v>68</v>
      </c>
      <c r="Y371" t="b">
        <f t="shared" si="6"/>
        <v>1</v>
      </c>
    </row>
    <row r="372" spans="1:25" x14ac:dyDescent="0.25">
      <c r="A372" t="s">
        <v>496</v>
      </c>
      <c r="B372" s="3">
        <v>1744</v>
      </c>
      <c r="C372" s="3">
        <v>2</v>
      </c>
      <c r="J372" s="3">
        <v>0</v>
      </c>
      <c r="K372" t="s">
        <v>68</v>
      </c>
      <c r="M372" t="s">
        <v>497</v>
      </c>
      <c r="N372">
        <v>1744</v>
      </c>
      <c r="O372">
        <v>2</v>
      </c>
      <c r="V372">
        <v>0</v>
      </c>
      <c r="W372" t="s">
        <v>68</v>
      </c>
      <c r="Y372" t="b">
        <f t="shared" si="6"/>
        <v>1</v>
      </c>
    </row>
    <row r="373" spans="1:25" x14ac:dyDescent="0.25">
      <c r="A373" t="s">
        <v>496</v>
      </c>
      <c r="B373" s="3">
        <v>1744</v>
      </c>
      <c r="C373" s="3">
        <v>3</v>
      </c>
      <c r="D373" t="s">
        <v>91</v>
      </c>
      <c r="E373" t="s">
        <v>268</v>
      </c>
      <c r="F373" t="s">
        <v>494</v>
      </c>
      <c r="G373" s="3">
        <v>1</v>
      </c>
      <c r="H373" s="4">
        <v>5.7133522708625284</v>
      </c>
      <c r="I373" s="4">
        <v>5</v>
      </c>
      <c r="J373" s="3">
        <v>0</v>
      </c>
      <c r="K373" t="s">
        <v>68</v>
      </c>
      <c r="M373" t="s">
        <v>497</v>
      </c>
      <c r="N373">
        <v>1744</v>
      </c>
      <c r="O373">
        <v>3</v>
      </c>
      <c r="P373" t="s">
        <v>91</v>
      </c>
      <c r="Q373" t="s">
        <v>312</v>
      </c>
      <c r="R373" t="s">
        <v>325</v>
      </c>
      <c r="S373">
        <v>1</v>
      </c>
      <c r="T373">
        <v>2.1393812646619388</v>
      </c>
      <c r="U373">
        <v>3</v>
      </c>
      <c r="V373">
        <v>0</v>
      </c>
      <c r="W373" t="s">
        <v>68</v>
      </c>
      <c r="Y373" t="b">
        <f t="shared" si="6"/>
        <v>0</v>
      </c>
    </row>
    <row r="374" spans="1:25" x14ac:dyDescent="0.25">
      <c r="A374" t="s">
        <v>496</v>
      </c>
      <c r="B374" s="3">
        <v>1744</v>
      </c>
      <c r="C374" s="3">
        <v>4</v>
      </c>
      <c r="D374" t="s">
        <v>91</v>
      </c>
      <c r="E374" t="s">
        <v>198</v>
      </c>
      <c r="F374" t="s">
        <v>284</v>
      </c>
      <c r="G374" s="3">
        <v>2</v>
      </c>
      <c r="H374" s="4">
        <v>4.173726618551088</v>
      </c>
      <c r="I374" s="4">
        <v>4</v>
      </c>
      <c r="J374" s="3">
        <v>0</v>
      </c>
      <c r="K374" t="s">
        <v>68</v>
      </c>
      <c r="M374" t="s">
        <v>497</v>
      </c>
      <c r="N374">
        <v>1744</v>
      </c>
      <c r="O374">
        <v>4</v>
      </c>
      <c r="P374" t="s">
        <v>91</v>
      </c>
      <c r="Q374" t="s">
        <v>122</v>
      </c>
      <c r="R374" t="s">
        <v>459</v>
      </c>
      <c r="S374">
        <v>2</v>
      </c>
      <c r="T374">
        <v>1.971434427316539</v>
      </c>
      <c r="U374">
        <v>2</v>
      </c>
      <c r="V374">
        <v>0</v>
      </c>
      <c r="W374" t="s">
        <v>68</v>
      </c>
      <c r="Y374" t="b">
        <f t="shared" si="6"/>
        <v>0</v>
      </c>
    </row>
    <row r="375" spans="1:25" x14ac:dyDescent="0.25">
      <c r="A375" t="s">
        <v>496</v>
      </c>
      <c r="B375" s="3">
        <v>1744</v>
      </c>
      <c r="C375" s="3">
        <v>5</v>
      </c>
      <c r="D375" t="s">
        <v>91</v>
      </c>
      <c r="E375" t="s">
        <v>122</v>
      </c>
      <c r="F375" t="s">
        <v>324</v>
      </c>
      <c r="G375" s="3">
        <v>3</v>
      </c>
      <c r="H375" s="4">
        <v>2.9609982252050369</v>
      </c>
      <c r="I375" s="4">
        <v>3</v>
      </c>
      <c r="J375" s="3">
        <v>0</v>
      </c>
      <c r="K375" t="s">
        <v>68</v>
      </c>
      <c r="M375" t="s">
        <v>497</v>
      </c>
      <c r="N375">
        <v>1744</v>
      </c>
      <c r="O375">
        <v>5</v>
      </c>
      <c r="P375" t="s">
        <v>91</v>
      </c>
      <c r="Q375" t="s">
        <v>268</v>
      </c>
      <c r="R375" t="s">
        <v>494</v>
      </c>
      <c r="S375">
        <v>3</v>
      </c>
      <c r="T375">
        <v>1.663152550672079</v>
      </c>
      <c r="U375">
        <v>1.5</v>
      </c>
      <c r="V375">
        <v>0</v>
      </c>
      <c r="W375" t="s">
        <v>68</v>
      </c>
      <c r="Y375" t="b">
        <f t="shared" si="6"/>
        <v>0</v>
      </c>
    </row>
    <row r="376" spans="1:25" x14ac:dyDescent="0.25">
      <c r="A376" t="s">
        <v>496</v>
      </c>
      <c r="B376" s="3">
        <v>1744</v>
      </c>
      <c r="C376" s="3">
        <v>6</v>
      </c>
      <c r="D376" t="s">
        <v>91</v>
      </c>
      <c r="E376" t="s">
        <v>138</v>
      </c>
      <c r="F376" t="s">
        <v>139</v>
      </c>
      <c r="G376" s="3">
        <v>4</v>
      </c>
      <c r="H376" s="4">
        <v>2.3157100457093169</v>
      </c>
      <c r="I376" s="4">
        <v>3</v>
      </c>
      <c r="J376" s="3">
        <v>0</v>
      </c>
      <c r="K376" t="s">
        <v>68</v>
      </c>
      <c r="M376" t="s">
        <v>497</v>
      </c>
      <c r="N376">
        <v>1744</v>
      </c>
      <c r="O376">
        <v>6</v>
      </c>
      <c r="P376" t="s">
        <v>91</v>
      </c>
      <c r="Q376" t="s">
        <v>367</v>
      </c>
      <c r="R376" t="s">
        <v>498</v>
      </c>
      <c r="S376">
        <v>4</v>
      </c>
      <c r="T376">
        <v>1.541541524035041</v>
      </c>
      <c r="U376">
        <v>2</v>
      </c>
      <c r="V376">
        <v>0</v>
      </c>
      <c r="W376" t="s">
        <v>68</v>
      </c>
      <c r="Y376" t="b">
        <f t="shared" si="6"/>
        <v>0</v>
      </c>
    </row>
    <row r="377" spans="1:25" x14ac:dyDescent="0.25">
      <c r="A377" t="s">
        <v>496</v>
      </c>
      <c r="B377" s="3">
        <v>1744</v>
      </c>
      <c r="C377" s="3">
        <v>7</v>
      </c>
      <c r="D377" t="s">
        <v>91</v>
      </c>
      <c r="E377" t="s">
        <v>172</v>
      </c>
      <c r="F377" t="s">
        <v>173</v>
      </c>
      <c r="G377" s="3">
        <v>5</v>
      </c>
      <c r="H377" s="4">
        <v>1.704910757549766</v>
      </c>
      <c r="I377" s="4">
        <v>2</v>
      </c>
      <c r="J377" s="3">
        <v>0</v>
      </c>
      <c r="K377" t="s">
        <v>68</v>
      </c>
      <c r="M377" t="s">
        <v>497</v>
      </c>
      <c r="N377">
        <v>1744</v>
      </c>
      <c r="O377">
        <v>7</v>
      </c>
      <c r="P377" t="s">
        <v>91</v>
      </c>
      <c r="Q377" t="s">
        <v>499</v>
      </c>
      <c r="R377" t="s">
        <v>500</v>
      </c>
      <c r="S377">
        <v>5</v>
      </c>
      <c r="T377">
        <v>1.3757248201079451</v>
      </c>
      <c r="U377">
        <v>1</v>
      </c>
      <c r="V377">
        <v>0</v>
      </c>
      <c r="W377" t="s">
        <v>68</v>
      </c>
      <c r="Y377" t="b">
        <f t="shared" si="6"/>
        <v>0</v>
      </c>
    </row>
    <row r="378" spans="1:25" x14ac:dyDescent="0.25">
      <c r="A378" t="s">
        <v>496</v>
      </c>
      <c r="B378" s="3">
        <v>1744</v>
      </c>
      <c r="C378" s="3">
        <v>8</v>
      </c>
      <c r="D378" t="s">
        <v>91</v>
      </c>
      <c r="E378" t="s">
        <v>367</v>
      </c>
      <c r="F378" t="s">
        <v>501</v>
      </c>
      <c r="G378" s="3">
        <v>6</v>
      </c>
      <c r="H378" s="4">
        <v>1.692316779790638</v>
      </c>
      <c r="I378" s="4">
        <v>4</v>
      </c>
      <c r="J378" s="3">
        <v>0</v>
      </c>
      <c r="K378" t="s">
        <v>68</v>
      </c>
      <c r="M378" t="s">
        <v>497</v>
      </c>
      <c r="N378">
        <v>1744</v>
      </c>
      <c r="O378">
        <v>8</v>
      </c>
      <c r="P378" t="s">
        <v>91</v>
      </c>
      <c r="Q378" t="s">
        <v>203</v>
      </c>
      <c r="R378" t="s">
        <v>502</v>
      </c>
      <c r="S378">
        <v>6</v>
      </c>
      <c r="T378">
        <v>1.322425686657094</v>
      </c>
      <c r="U378">
        <v>1</v>
      </c>
      <c r="V378">
        <v>0</v>
      </c>
      <c r="W378" t="s">
        <v>68</v>
      </c>
      <c r="Y378" t="b">
        <f t="shared" si="6"/>
        <v>0</v>
      </c>
    </row>
    <row r="379" spans="1:25" x14ac:dyDescent="0.25">
      <c r="A379" t="s">
        <v>496</v>
      </c>
      <c r="B379" s="3">
        <v>1744</v>
      </c>
      <c r="C379" s="3">
        <v>9</v>
      </c>
      <c r="D379" t="s">
        <v>91</v>
      </c>
      <c r="E379" t="s">
        <v>355</v>
      </c>
      <c r="F379" t="s">
        <v>356</v>
      </c>
      <c r="G379" s="3">
        <v>7</v>
      </c>
      <c r="H379" s="4">
        <v>1.070150836196355</v>
      </c>
      <c r="I379" s="4">
        <v>1</v>
      </c>
      <c r="J379" s="3">
        <v>0</v>
      </c>
      <c r="K379" t="s">
        <v>68</v>
      </c>
      <c r="M379" t="s">
        <v>497</v>
      </c>
      <c r="N379">
        <v>1744</v>
      </c>
      <c r="O379">
        <v>9</v>
      </c>
      <c r="P379" t="s">
        <v>91</v>
      </c>
      <c r="Q379" t="s">
        <v>503</v>
      </c>
      <c r="R379" t="s">
        <v>504</v>
      </c>
      <c r="S379">
        <v>7</v>
      </c>
      <c r="T379">
        <v>0.98216577693742679</v>
      </c>
      <c r="U379">
        <v>1</v>
      </c>
      <c r="V379">
        <v>0</v>
      </c>
      <c r="W379" t="s">
        <v>68</v>
      </c>
      <c r="Y379" t="b">
        <f t="shared" si="6"/>
        <v>0</v>
      </c>
    </row>
    <row r="380" spans="1:25" x14ac:dyDescent="0.25">
      <c r="A380" t="s">
        <v>496</v>
      </c>
      <c r="B380" s="3">
        <v>1744</v>
      </c>
      <c r="C380" s="3">
        <v>10</v>
      </c>
      <c r="D380" t="s">
        <v>91</v>
      </c>
      <c r="E380" t="s">
        <v>296</v>
      </c>
      <c r="F380" t="s">
        <v>505</v>
      </c>
      <c r="G380" s="3">
        <v>8</v>
      </c>
      <c r="H380" s="4">
        <v>0.63659010771926228</v>
      </c>
      <c r="I380" s="4">
        <v>1</v>
      </c>
      <c r="J380" s="3">
        <v>0</v>
      </c>
      <c r="K380" t="s">
        <v>68</v>
      </c>
      <c r="M380" t="s">
        <v>497</v>
      </c>
      <c r="N380">
        <v>1744</v>
      </c>
      <c r="O380">
        <v>10</v>
      </c>
      <c r="P380" t="s">
        <v>91</v>
      </c>
      <c r="Q380" t="s">
        <v>506</v>
      </c>
      <c r="R380" t="s">
        <v>507</v>
      </c>
      <c r="S380">
        <v>8</v>
      </c>
      <c r="T380">
        <v>0.96075822708354996</v>
      </c>
      <c r="U380">
        <v>1</v>
      </c>
      <c r="V380">
        <v>0</v>
      </c>
      <c r="W380" t="s">
        <v>68</v>
      </c>
      <c r="Y380" t="b">
        <f t="shared" si="6"/>
        <v>0</v>
      </c>
    </row>
    <row r="381" spans="1:25" x14ac:dyDescent="0.25">
      <c r="A381" t="s">
        <v>496</v>
      </c>
      <c r="B381" s="3">
        <v>1744</v>
      </c>
      <c r="C381" s="3">
        <v>11</v>
      </c>
      <c r="D381" t="s">
        <v>91</v>
      </c>
      <c r="E381" t="s">
        <v>195</v>
      </c>
      <c r="F381" t="s">
        <v>299</v>
      </c>
      <c r="G381" s="3">
        <v>9</v>
      </c>
      <c r="H381" s="4">
        <v>0.62750517033852404</v>
      </c>
      <c r="I381" s="4">
        <v>1</v>
      </c>
      <c r="J381" s="3">
        <v>0</v>
      </c>
      <c r="K381" t="s">
        <v>68</v>
      </c>
      <c r="M381" t="s">
        <v>497</v>
      </c>
      <c r="N381">
        <v>1744</v>
      </c>
      <c r="O381">
        <v>11</v>
      </c>
      <c r="P381" t="s">
        <v>91</v>
      </c>
      <c r="Q381" t="s">
        <v>168</v>
      </c>
      <c r="R381" t="s">
        <v>169</v>
      </c>
      <c r="S381">
        <v>9</v>
      </c>
      <c r="T381">
        <v>0.95219184760804354</v>
      </c>
      <c r="U381">
        <v>1</v>
      </c>
      <c r="V381">
        <v>0</v>
      </c>
      <c r="W381" t="s">
        <v>68</v>
      </c>
      <c r="Y381" t="b">
        <f t="shared" si="6"/>
        <v>0</v>
      </c>
    </row>
    <row r="382" spans="1:25" x14ac:dyDescent="0.25">
      <c r="A382" t="s">
        <v>496</v>
      </c>
      <c r="B382" s="3">
        <v>1744</v>
      </c>
      <c r="C382" s="3">
        <v>12</v>
      </c>
      <c r="D382" t="s">
        <v>91</v>
      </c>
      <c r="E382" t="s">
        <v>259</v>
      </c>
      <c r="F382" t="s">
        <v>508</v>
      </c>
      <c r="G382" s="3">
        <v>10</v>
      </c>
      <c r="H382" s="4">
        <v>0.53032272078472753</v>
      </c>
      <c r="I382" s="4">
        <v>1</v>
      </c>
      <c r="J382" s="3">
        <v>0</v>
      </c>
      <c r="K382" t="s">
        <v>68</v>
      </c>
      <c r="M382" t="s">
        <v>497</v>
      </c>
      <c r="N382">
        <v>1744</v>
      </c>
      <c r="O382">
        <v>12</v>
      </c>
      <c r="P382" t="s">
        <v>91</v>
      </c>
      <c r="Q382" t="s">
        <v>509</v>
      </c>
      <c r="R382" t="s">
        <v>510</v>
      </c>
      <c r="S382">
        <v>10</v>
      </c>
      <c r="T382">
        <v>0.93383274163050389</v>
      </c>
      <c r="U382">
        <v>1</v>
      </c>
      <c r="V382">
        <v>0</v>
      </c>
      <c r="W382" t="s">
        <v>68</v>
      </c>
      <c r="Y382" t="b">
        <f t="shared" si="6"/>
        <v>0</v>
      </c>
    </row>
    <row r="385" spans="1:25" ht="15.75" x14ac:dyDescent="0.3">
      <c r="A385" s="12" t="s">
        <v>511</v>
      </c>
      <c r="M385" s="12" t="s">
        <v>511</v>
      </c>
    </row>
    <row r="386" spans="1:25" ht="30.75" thickBot="1" x14ac:dyDescent="0.3">
      <c r="A386" s="2" t="s">
        <v>80</v>
      </c>
      <c r="B386" s="2" t="s">
        <v>13</v>
      </c>
      <c r="C386" s="2" t="s">
        <v>81</v>
      </c>
      <c r="D386" s="2" t="s">
        <v>82</v>
      </c>
      <c r="E386" s="2" t="s">
        <v>83</v>
      </c>
      <c r="F386" s="2" t="s">
        <v>84</v>
      </c>
      <c r="G386" s="2" t="s">
        <v>85</v>
      </c>
      <c r="H386" s="2" t="s">
        <v>86</v>
      </c>
      <c r="I386" s="2" t="s">
        <v>87</v>
      </c>
      <c r="J386" s="2" t="s">
        <v>88</v>
      </c>
      <c r="K386" s="2" t="s">
        <v>89</v>
      </c>
      <c r="M386" s="2" t="s">
        <v>80</v>
      </c>
      <c r="N386" s="2" t="s">
        <v>13</v>
      </c>
      <c r="O386" s="2" t="s">
        <v>81</v>
      </c>
      <c r="P386" s="2" t="s">
        <v>82</v>
      </c>
      <c r="Q386" s="2" t="s">
        <v>83</v>
      </c>
      <c r="R386" s="2" t="s">
        <v>84</v>
      </c>
      <c r="S386" s="2" t="s">
        <v>85</v>
      </c>
      <c r="T386" s="2" t="s">
        <v>86</v>
      </c>
      <c r="U386" s="2" t="s">
        <v>87</v>
      </c>
      <c r="V386" s="2" t="s">
        <v>88</v>
      </c>
      <c r="W386" s="2" t="s">
        <v>89</v>
      </c>
    </row>
    <row r="387" spans="1:25" x14ac:dyDescent="0.25">
      <c r="A387" t="s">
        <v>214</v>
      </c>
      <c r="B387" s="3">
        <v>1745</v>
      </c>
      <c r="C387" s="3">
        <v>1</v>
      </c>
      <c r="D387" t="s">
        <v>91</v>
      </c>
      <c r="E387" t="s">
        <v>122</v>
      </c>
      <c r="F387" t="s">
        <v>323</v>
      </c>
      <c r="G387" s="3">
        <v>1</v>
      </c>
      <c r="H387" s="4">
        <v>20.72698757643526</v>
      </c>
      <c r="I387" s="4">
        <v>21</v>
      </c>
      <c r="J387" s="3">
        <v>0</v>
      </c>
      <c r="K387" t="s">
        <v>68</v>
      </c>
      <c r="M387" t="s">
        <v>512</v>
      </c>
      <c r="N387">
        <v>1745</v>
      </c>
      <c r="O387">
        <v>1</v>
      </c>
      <c r="P387" t="s">
        <v>91</v>
      </c>
      <c r="Q387" t="s">
        <v>268</v>
      </c>
      <c r="R387" t="s">
        <v>494</v>
      </c>
      <c r="S387">
        <v>1</v>
      </c>
      <c r="T387">
        <v>8.5301339106482104</v>
      </c>
      <c r="U387">
        <v>7.5</v>
      </c>
      <c r="V387">
        <v>0</v>
      </c>
      <c r="W387" t="s">
        <v>68</v>
      </c>
      <c r="Y387" t="b">
        <f t="shared" si="6"/>
        <v>0</v>
      </c>
    </row>
    <row r="388" spans="1:25" x14ac:dyDescent="0.25">
      <c r="A388" t="s">
        <v>214</v>
      </c>
      <c r="B388" s="3">
        <v>1745</v>
      </c>
      <c r="C388" s="3">
        <v>2</v>
      </c>
      <c r="D388" t="s">
        <v>91</v>
      </c>
      <c r="E388" t="s">
        <v>92</v>
      </c>
      <c r="F388" t="s">
        <v>93</v>
      </c>
      <c r="G388" s="3">
        <v>2</v>
      </c>
      <c r="H388" s="4">
        <v>8.2856824302740222</v>
      </c>
      <c r="I388" s="4">
        <v>6</v>
      </c>
      <c r="J388" s="3">
        <v>0</v>
      </c>
      <c r="K388" t="s">
        <v>68</v>
      </c>
      <c r="M388" t="s">
        <v>512</v>
      </c>
      <c r="N388">
        <v>1745</v>
      </c>
      <c r="O388">
        <v>2</v>
      </c>
      <c r="P388" t="s">
        <v>91</v>
      </c>
      <c r="Q388" t="s">
        <v>513</v>
      </c>
      <c r="R388" t="s">
        <v>514</v>
      </c>
      <c r="S388">
        <v>2</v>
      </c>
      <c r="T388">
        <v>6.2995332183167161</v>
      </c>
      <c r="U388">
        <v>5</v>
      </c>
      <c r="V388">
        <v>0</v>
      </c>
      <c r="W388" t="s">
        <v>68</v>
      </c>
      <c r="Y388" t="b">
        <f t="shared" ref="Y388:Y398" si="7">E388=Q388</f>
        <v>0</v>
      </c>
    </row>
    <row r="389" spans="1:25" x14ac:dyDescent="0.25">
      <c r="A389" t="s">
        <v>214</v>
      </c>
      <c r="B389" s="3">
        <v>1745</v>
      </c>
      <c r="C389" s="3">
        <v>3</v>
      </c>
      <c r="D389" t="s">
        <v>91</v>
      </c>
      <c r="E389" t="s">
        <v>175</v>
      </c>
      <c r="F389" t="s">
        <v>215</v>
      </c>
      <c r="G389" s="3">
        <v>3</v>
      </c>
      <c r="H389" s="4">
        <v>4.852712844049389</v>
      </c>
      <c r="I389" s="4">
        <v>4</v>
      </c>
      <c r="J389" s="3">
        <v>0</v>
      </c>
      <c r="K389" t="s">
        <v>68</v>
      </c>
      <c r="M389" t="s">
        <v>512</v>
      </c>
      <c r="N389">
        <v>1745</v>
      </c>
      <c r="O389">
        <v>3</v>
      </c>
      <c r="P389" t="s">
        <v>91</v>
      </c>
      <c r="Q389" t="s">
        <v>367</v>
      </c>
      <c r="R389" t="s">
        <v>388</v>
      </c>
      <c r="S389">
        <v>3</v>
      </c>
      <c r="T389">
        <v>6.0278981589623593</v>
      </c>
      <c r="U389">
        <v>6</v>
      </c>
      <c r="V389">
        <v>0</v>
      </c>
      <c r="W389" t="s">
        <v>68</v>
      </c>
      <c r="Y389" t="b">
        <f t="shared" si="7"/>
        <v>0</v>
      </c>
    </row>
    <row r="390" spans="1:25" x14ac:dyDescent="0.25">
      <c r="A390" t="s">
        <v>214</v>
      </c>
      <c r="B390" s="3">
        <v>1745</v>
      </c>
      <c r="C390" s="3">
        <v>4</v>
      </c>
      <c r="D390" t="s">
        <v>91</v>
      </c>
      <c r="E390" t="s">
        <v>106</v>
      </c>
      <c r="F390" t="s">
        <v>216</v>
      </c>
      <c r="G390" s="3">
        <v>4</v>
      </c>
      <c r="H390" s="4">
        <v>4.8350910897135249</v>
      </c>
      <c r="I390" s="4">
        <v>4</v>
      </c>
      <c r="J390" s="3">
        <v>0</v>
      </c>
      <c r="K390" t="s">
        <v>68</v>
      </c>
      <c r="M390" t="s">
        <v>512</v>
      </c>
      <c r="N390">
        <v>1745</v>
      </c>
      <c r="O390">
        <v>4</v>
      </c>
      <c r="P390" t="s">
        <v>91</v>
      </c>
      <c r="Q390" t="s">
        <v>106</v>
      </c>
      <c r="R390" t="s">
        <v>462</v>
      </c>
      <c r="S390">
        <v>4</v>
      </c>
      <c r="T390">
        <v>5.0791451498725824</v>
      </c>
      <c r="U390">
        <v>6</v>
      </c>
      <c r="V390">
        <v>0</v>
      </c>
      <c r="W390" t="s">
        <v>68</v>
      </c>
      <c r="Y390" t="b">
        <f t="shared" si="7"/>
        <v>1</v>
      </c>
    </row>
    <row r="391" spans="1:25" x14ac:dyDescent="0.25">
      <c r="A391" t="s">
        <v>214</v>
      </c>
      <c r="B391" s="3">
        <v>1745</v>
      </c>
      <c r="C391" s="3">
        <v>5</v>
      </c>
      <c r="D391" t="s">
        <v>91</v>
      </c>
      <c r="E391" t="s">
        <v>163</v>
      </c>
      <c r="F391" t="s">
        <v>515</v>
      </c>
      <c r="G391" s="3">
        <v>5</v>
      </c>
      <c r="H391" s="4">
        <v>3.221105327093746</v>
      </c>
      <c r="I391" s="4">
        <v>4</v>
      </c>
      <c r="J391" s="3">
        <v>0</v>
      </c>
      <c r="K391" t="s">
        <v>68</v>
      </c>
      <c r="M391" t="s">
        <v>512</v>
      </c>
      <c r="N391">
        <v>1745</v>
      </c>
      <c r="O391">
        <v>5</v>
      </c>
      <c r="P391" t="s">
        <v>91</v>
      </c>
      <c r="Q391" t="s">
        <v>516</v>
      </c>
      <c r="R391" t="s">
        <v>517</v>
      </c>
      <c r="S391">
        <v>5</v>
      </c>
      <c r="T391">
        <v>2.958155719844199</v>
      </c>
      <c r="U391">
        <v>3</v>
      </c>
      <c r="V391">
        <v>0</v>
      </c>
      <c r="W391" t="s">
        <v>68</v>
      </c>
      <c r="Y391" t="b">
        <f t="shared" si="7"/>
        <v>0</v>
      </c>
    </row>
    <row r="392" spans="1:25" x14ac:dyDescent="0.25">
      <c r="A392" t="s">
        <v>214</v>
      </c>
      <c r="B392" s="3">
        <v>1745</v>
      </c>
      <c r="C392" s="3">
        <v>6</v>
      </c>
      <c r="D392" t="s">
        <v>91</v>
      </c>
      <c r="E392" t="s">
        <v>220</v>
      </c>
      <c r="F392" t="s">
        <v>221</v>
      </c>
      <c r="G392" s="3">
        <v>6</v>
      </c>
      <c r="H392" s="4">
        <v>3.000793735693601</v>
      </c>
      <c r="I392" s="4">
        <v>3</v>
      </c>
      <c r="J392" s="3">
        <v>0</v>
      </c>
      <c r="K392" t="s">
        <v>68</v>
      </c>
      <c r="M392" t="s">
        <v>512</v>
      </c>
      <c r="N392">
        <v>1745</v>
      </c>
      <c r="O392">
        <v>6</v>
      </c>
      <c r="P392" t="s">
        <v>91</v>
      </c>
      <c r="Q392" t="s">
        <v>503</v>
      </c>
      <c r="R392" t="s">
        <v>504</v>
      </c>
      <c r="S392">
        <v>6</v>
      </c>
      <c r="T392">
        <v>2.946497330812281</v>
      </c>
      <c r="U392">
        <v>3</v>
      </c>
      <c r="V392">
        <v>0</v>
      </c>
      <c r="W392" t="s">
        <v>68</v>
      </c>
      <c r="Y392" t="b">
        <f t="shared" si="7"/>
        <v>0</v>
      </c>
    </row>
    <row r="393" spans="1:25" x14ac:dyDescent="0.25">
      <c r="A393" t="s">
        <v>214</v>
      </c>
      <c r="B393" s="3">
        <v>1745</v>
      </c>
      <c r="C393" s="3">
        <v>7</v>
      </c>
      <c r="D393" t="s">
        <v>91</v>
      </c>
      <c r="E393" t="s">
        <v>223</v>
      </c>
      <c r="F393" t="s">
        <v>518</v>
      </c>
      <c r="G393" s="3">
        <v>7</v>
      </c>
      <c r="H393" s="4">
        <v>2.1880148425009538</v>
      </c>
      <c r="I393" s="4">
        <v>4</v>
      </c>
      <c r="J393" s="3">
        <v>0</v>
      </c>
      <c r="K393" t="s">
        <v>68</v>
      </c>
      <c r="M393" t="s">
        <v>512</v>
      </c>
      <c r="N393">
        <v>1745</v>
      </c>
      <c r="O393">
        <v>7</v>
      </c>
      <c r="P393" t="s">
        <v>91</v>
      </c>
      <c r="Q393" t="s">
        <v>376</v>
      </c>
      <c r="R393" t="s">
        <v>519</v>
      </c>
      <c r="S393">
        <v>7</v>
      </c>
      <c r="T393">
        <v>2.8497123408201488</v>
      </c>
      <c r="U393">
        <v>3</v>
      </c>
      <c r="V393">
        <v>0</v>
      </c>
      <c r="W393" t="s">
        <v>68</v>
      </c>
      <c r="Y393" t="b">
        <f t="shared" si="7"/>
        <v>0</v>
      </c>
    </row>
    <row r="394" spans="1:25" x14ac:dyDescent="0.25">
      <c r="A394" t="s">
        <v>214</v>
      </c>
      <c r="B394" s="3">
        <v>1745</v>
      </c>
      <c r="C394" s="3">
        <v>8</v>
      </c>
      <c r="D394" t="s">
        <v>91</v>
      </c>
      <c r="E394" t="s">
        <v>96</v>
      </c>
      <c r="F394" t="s">
        <v>98</v>
      </c>
      <c r="G394" s="3">
        <v>8</v>
      </c>
      <c r="H394" s="4">
        <v>1.8185514313251241</v>
      </c>
      <c r="I394" s="4">
        <v>2</v>
      </c>
      <c r="J394" s="3">
        <v>0</v>
      </c>
      <c r="K394" t="s">
        <v>68</v>
      </c>
      <c r="M394" t="s">
        <v>512</v>
      </c>
      <c r="N394">
        <v>1745</v>
      </c>
      <c r="O394">
        <v>8</v>
      </c>
      <c r="P394" t="s">
        <v>91</v>
      </c>
      <c r="Q394" t="s">
        <v>163</v>
      </c>
      <c r="R394" t="s">
        <v>520</v>
      </c>
      <c r="S394">
        <v>8</v>
      </c>
      <c r="T394">
        <v>2.154956936034826</v>
      </c>
      <c r="U394">
        <v>3</v>
      </c>
      <c r="V394">
        <v>0</v>
      </c>
      <c r="W394" t="s">
        <v>68</v>
      </c>
      <c r="Y394" t="b">
        <f t="shared" si="7"/>
        <v>0</v>
      </c>
    </row>
    <row r="395" spans="1:25" x14ac:dyDescent="0.25">
      <c r="A395" t="s">
        <v>214</v>
      </c>
      <c r="B395" s="3">
        <v>1745</v>
      </c>
      <c r="C395" s="3">
        <v>9</v>
      </c>
      <c r="D395" t="s">
        <v>91</v>
      </c>
      <c r="E395" t="s">
        <v>99</v>
      </c>
      <c r="F395" t="s">
        <v>101</v>
      </c>
      <c r="G395" s="3">
        <v>9</v>
      </c>
      <c r="H395" s="4">
        <v>1.6436624800072821</v>
      </c>
      <c r="I395" s="4">
        <v>5</v>
      </c>
      <c r="J395" s="3">
        <v>0</v>
      </c>
      <c r="K395" t="s">
        <v>68</v>
      </c>
      <c r="M395" t="s">
        <v>512</v>
      </c>
      <c r="N395">
        <v>1745</v>
      </c>
      <c r="O395">
        <v>9</v>
      </c>
      <c r="P395" t="s">
        <v>91</v>
      </c>
      <c r="Q395" t="s">
        <v>128</v>
      </c>
      <c r="R395" t="s">
        <v>129</v>
      </c>
      <c r="S395">
        <v>9</v>
      </c>
      <c r="T395">
        <v>2.0924832957735839</v>
      </c>
      <c r="U395">
        <v>2</v>
      </c>
      <c r="V395">
        <v>0</v>
      </c>
      <c r="W395" t="s">
        <v>68</v>
      </c>
      <c r="Y395" t="b">
        <f t="shared" si="7"/>
        <v>0</v>
      </c>
    </row>
    <row r="396" spans="1:25" x14ac:dyDescent="0.25">
      <c r="A396" t="s">
        <v>214</v>
      </c>
      <c r="B396" s="3">
        <v>1745</v>
      </c>
      <c r="C396" s="3">
        <v>10</v>
      </c>
      <c r="D396" t="s">
        <v>91</v>
      </c>
      <c r="E396" t="s">
        <v>228</v>
      </c>
      <c r="F396" t="s">
        <v>229</v>
      </c>
      <c r="G396" s="3">
        <v>10</v>
      </c>
      <c r="H396" s="4">
        <v>1.3724918591470849</v>
      </c>
      <c r="I396" s="4">
        <v>1</v>
      </c>
      <c r="J396" s="3">
        <v>0</v>
      </c>
      <c r="K396" t="s">
        <v>68</v>
      </c>
      <c r="M396" t="s">
        <v>512</v>
      </c>
      <c r="N396">
        <v>1745</v>
      </c>
      <c r="O396">
        <v>10</v>
      </c>
      <c r="P396" t="s">
        <v>91</v>
      </c>
      <c r="Q396" t="s">
        <v>236</v>
      </c>
      <c r="R396" t="s">
        <v>237</v>
      </c>
      <c r="S396">
        <v>10</v>
      </c>
      <c r="T396">
        <v>2.0354529471805929</v>
      </c>
      <c r="U396">
        <v>2</v>
      </c>
      <c r="V396">
        <v>0</v>
      </c>
      <c r="W396" t="s">
        <v>68</v>
      </c>
      <c r="Y396" t="b">
        <f t="shared" si="7"/>
        <v>0</v>
      </c>
    </row>
    <row r="397" spans="1:25" x14ac:dyDescent="0.25">
      <c r="A397" t="s">
        <v>214</v>
      </c>
      <c r="B397" s="3">
        <v>1745</v>
      </c>
      <c r="C397" s="3">
        <v>11</v>
      </c>
      <c r="D397" t="s">
        <v>91</v>
      </c>
      <c r="E397" t="s">
        <v>230</v>
      </c>
      <c r="F397" t="s">
        <v>326</v>
      </c>
      <c r="G397" s="3">
        <v>11</v>
      </c>
      <c r="H397" s="4">
        <v>1.371157319162895</v>
      </c>
      <c r="I397" s="4">
        <v>1</v>
      </c>
      <c r="J397" s="3">
        <v>0</v>
      </c>
      <c r="K397" t="s">
        <v>68</v>
      </c>
      <c r="M397" t="s">
        <v>512</v>
      </c>
      <c r="N397">
        <v>1745</v>
      </c>
      <c r="O397">
        <v>11</v>
      </c>
      <c r="P397" t="s">
        <v>91</v>
      </c>
      <c r="Q397" t="s">
        <v>341</v>
      </c>
      <c r="R397" t="s">
        <v>342</v>
      </c>
      <c r="S397">
        <v>11</v>
      </c>
      <c r="T397">
        <v>1.6509435041501559</v>
      </c>
      <c r="U397">
        <v>3</v>
      </c>
      <c r="V397">
        <v>0</v>
      </c>
      <c r="W397" t="s">
        <v>68</v>
      </c>
      <c r="Y397" t="b">
        <f t="shared" si="7"/>
        <v>0</v>
      </c>
    </row>
    <row r="398" spans="1:25" x14ac:dyDescent="0.25">
      <c r="A398" t="s">
        <v>214</v>
      </c>
      <c r="B398" s="3">
        <v>1745</v>
      </c>
      <c r="C398" s="3">
        <v>12</v>
      </c>
      <c r="D398" t="s">
        <v>91</v>
      </c>
      <c r="E398" t="s">
        <v>153</v>
      </c>
      <c r="F398" t="s">
        <v>232</v>
      </c>
      <c r="G398" s="3">
        <v>12</v>
      </c>
      <c r="H398" s="4">
        <v>1.35197727499729</v>
      </c>
      <c r="I398" s="4">
        <v>1</v>
      </c>
      <c r="J398" s="3">
        <v>0</v>
      </c>
      <c r="K398" t="s">
        <v>68</v>
      </c>
      <c r="M398" t="s">
        <v>512</v>
      </c>
      <c r="N398">
        <v>1745</v>
      </c>
      <c r="O398">
        <v>12</v>
      </c>
      <c r="P398" t="s">
        <v>91</v>
      </c>
      <c r="Q398" t="s">
        <v>379</v>
      </c>
      <c r="R398" t="s">
        <v>521</v>
      </c>
      <c r="S398">
        <v>12</v>
      </c>
      <c r="T398">
        <v>1.561438128191114</v>
      </c>
      <c r="U398">
        <v>2</v>
      </c>
      <c r="V398">
        <v>0</v>
      </c>
      <c r="W398" t="s">
        <v>68</v>
      </c>
      <c r="Y398" t="b">
        <f t="shared" si="7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4"/>
  <sheetViews>
    <sheetView workbookViewId="0"/>
  </sheetViews>
  <sheetFormatPr defaultRowHeight="15" x14ac:dyDescent="0.25"/>
  <cols>
    <col min="1" max="1" width="9.42578125" customWidth="1"/>
    <col min="2" max="2" width="50.7109375" customWidth="1"/>
    <col min="3" max="3" width="14.42578125" customWidth="1"/>
    <col min="4" max="4" width="15.7109375" customWidth="1"/>
    <col min="5" max="5" width="50.7109375" customWidth="1"/>
    <col min="6" max="6" width="19.42578125" customWidth="1"/>
    <col min="7" max="7" width="50.7109375" customWidth="1"/>
    <col min="8" max="8" width="23.28515625" customWidth="1"/>
    <col min="9" max="10" width="12" customWidth="1"/>
    <col min="11" max="11" width="408.28515625" customWidth="1"/>
    <col min="12" max="12" width="23.28515625" customWidth="1"/>
    <col min="13" max="13" width="28.28515625" customWidth="1"/>
    <col min="14" max="14" width="32" customWidth="1"/>
    <col min="15" max="15" width="20.7109375" customWidth="1"/>
    <col min="16" max="16" width="28.28515625" customWidth="1"/>
    <col min="17" max="17" width="24.42578125" customWidth="1"/>
  </cols>
  <sheetData>
    <row r="1" spans="1:17" x14ac:dyDescent="0.25">
      <c r="A1" s="2" t="s">
        <v>522</v>
      </c>
      <c r="B1" s="2" t="s">
        <v>523</v>
      </c>
      <c r="C1" s="2" t="s">
        <v>17</v>
      </c>
      <c r="D1" s="2" t="s">
        <v>524</v>
      </c>
      <c r="E1" s="2" t="s">
        <v>84</v>
      </c>
      <c r="F1" s="2" t="s">
        <v>525</v>
      </c>
      <c r="G1" s="2" t="s">
        <v>526</v>
      </c>
      <c r="H1" s="2" t="s">
        <v>527</v>
      </c>
      <c r="I1" s="2" t="s">
        <v>528</v>
      </c>
      <c r="J1" s="2" t="s">
        <v>529</v>
      </c>
      <c r="K1" s="2" t="s">
        <v>530</v>
      </c>
      <c r="L1" s="2" t="s">
        <v>531</v>
      </c>
      <c r="M1" s="2" t="s">
        <v>532</v>
      </c>
      <c r="N1" s="2" t="s">
        <v>533</v>
      </c>
      <c r="O1" s="2" t="s">
        <v>534</v>
      </c>
      <c r="P1" s="2" t="s">
        <v>535</v>
      </c>
      <c r="Q1" s="2" t="s">
        <v>536</v>
      </c>
    </row>
    <row r="2" spans="1:17" x14ac:dyDescent="0.25">
      <c r="A2" t="s">
        <v>537</v>
      </c>
      <c r="B2" t="s">
        <v>122</v>
      </c>
      <c r="C2" s="3">
        <v>1172002</v>
      </c>
      <c r="D2" s="3">
        <v>13</v>
      </c>
      <c r="E2" t="s">
        <v>290</v>
      </c>
      <c r="F2" t="s">
        <v>538</v>
      </c>
      <c r="G2" t="s">
        <v>122</v>
      </c>
      <c r="H2" t="s">
        <v>539</v>
      </c>
      <c r="I2" t="s">
        <v>540</v>
      </c>
      <c r="J2" t="s">
        <v>541</v>
      </c>
      <c r="K2" t="s">
        <v>542</v>
      </c>
      <c r="L2" t="s">
        <v>68</v>
      </c>
      <c r="M2" t="s">
        <v>68</v>
      </c>
      <c r="N2" t="s">
        <v>68</v>
      </c>
      <c r="O2" t="s">
        <v>543</v>
      </c>
      <c r="P2" s="4">
        <v>0.43998311005335689</v>
      </c>
      <c r="Q2" s="4">
        <v>6.6988076812155608</v>
      </c>
    </row>
    <row r="3" spans="1:17" x14ac:dyDescent="0.25">
      <c r="A3" t="s">
        <v>544</v>
      </c>
      <c r="B3" t="s">
        <v>168</v>
      </c>
      <c r="C3" s="3">
        <v>851550</v>
      </c>
      <c r="D3" s="3">
        <v>1</v>
      </c>
      <c r="E3" t="s">
        <v>169</v>
      </c>
      <c r="F3" t="s">
        <v>545</v>
      </c>
      <c r="G3" t="s">
        <v>168</v>
      </c>
      <c r="H3" t="s">
        <v>539</v>
      </c>
      <c r="I3" t="s">
        <v>540</v>
      </c>
      <c r="J3" t="s">
        <v>541</v>
      </c>
      <c r="K3" t="s">
        <v>546</v>
      </c>
      <c r="L3" t="s">
        <v>68</v>
      </c>
      <c r="M3" t="s">
        <v>72</v>
      </c>
      <c r="N3" t="s">
        <v>68</v>
      </c>
      <c r="O3" t="s">
        <v>543</v>
      </c>
      <c r="P3" s="4">
        <v>0.70502005109036614</v>
      </c>
      <c r="Q3" s="4">
        <v>7.4588890846104174</v>
      </c>
    </row>
    <row r="4" spans="1:17" x14ac:dyDescent="0.25">
      <c r="A4" t="s">
        <v>547</v>
      </c>
      <c r="B4" t="s">
        <v>268</v>
      </c>
      <c r="C4" s="3">
        <v>843652</v>
      </c>
      <c r="D4" s="3">
        <v>6</v>
      </c>
      <c r="E4" t="s">
        <v>359</v>
      </c>
      <c r="F4" t="s">
        <v>548</v>
      </c>
      <c r="G4" t="s">
        <v>268</v>
      </c>
      <c r="H4" t="s">
        <v>539</v>
      </c>
      <c r="I4" t="s">
        <v>540</v>
      </c>
      <c r="J4" t="s">
        <v>541</v>
      </c>
      <c r="K4" t="s">
        <v>549</v>
      </c>
      <c r="L4" t="s">
        <v>71</v>
      </c>
      <c r="M4" t="s">
        <v>70</v>
      </c>
      <c r="N4" t="s">
        <v>68</v>
      </c>
      <c r="O4" t="s">
        <v>543</v>
      </c>
      <c r="P4" s="4">
        <v>0.54925309816728796</v>
      </c>
      <c r="Q4" s="4">
        <v>7.6369605003010719</v>
      </c>
    </row>
    <row r="5" spans="1:17" x14ac:dyDescent="0.25">
      <c r="A5" t="s">
        <v>550</v>
      </c>
      <c r="B5" t="s">
        <v>143</v>
      </c>
      <c r="C5" s="3">
        <v>567041</v>
      </c>
      <c r="D5" s="3">
        <v>2</v>
      </c>
      <c r="E5" t="s">
        <v>144</v>
      </c>
      <c r="F5" t="s">
        <v>551</v>
      </c>
      <c r="G5" t="s">
        <v>143</v>
      </c>
      <c r="H5" t="s">
        <v>539</v>
      </c>
      <c r="I5" t="s">
        <v>540</v>
      </c>
      <c r="J5" t="s">
        <v>541</v>
      </c>
      <c r="K5" t="s">
        <v>552</v>
      </c>
      <c r="L5" t="s">
        <v>71</v>
      </c>
      <c r="M5" t="s">
        <v>72</v>
      </c>
      <c r="N5" t="s">
        <v>68</v>
      </c>
      <c r="O5" t="s">
        <v>543</v>
      </c>
      <c r="P5" s="4">
        <v>0.92465034749225394</v>
      </c>
      <c r="Q5" s="4">
        <v>9.2028336575309364</v>
      </c>
    </row>
    <row r="6" spans="1:17" x14ac:dyDescent="0.25">
      <c r="A6" t="s">
        <v>553</v>
      </c>
      <c r="B6" t="s">
        <v>367</v>
      </c>
      <c r="C6" s="3">
        <v>453733</v>
      </c>
      <c r="D6" s="3">
        <v>11</v>
      </c>
      <c r="E6" t="s">
        <v>554</v>
      </c>
      <c r="F6" t="s">
        <v>555</v>
      </c>
      <c r="G6" t="s">
        <v>367</v>
      </c>
      <c r="H6" t="s">
        <v>539</v>
      </c>
      <c r="I6" t="s">
        <v>540</v>
      </c>
      <c r="J6" t="s">
        <v>541</v>
      </c>
      <c r="K6" t="s">
        <v>556</v>
      </c>
      <c r="L6" t="s">
        <v>68</v>
      </c>
      <c r="M6" t="s">
        <v>70</v>
      </c>
      <c r="N6" t="s">
        <v>68</v>
      </c>
      <c r="O6" t="s">
        <v>543</v>
      </c>
      <c r="P6" s="4">
        <v>0.5184325351811756</v>
      </c>
      <c r="Q6" s="4">
        <v>7.8197618423169573</v>
      </c>
    </row>
    <row r="7" spans="1:17" x14ac:dyDescent="0.25">
      <c r="A7" t="s">
        <v>557</v>
      </c>
      <c r="B7" t="s">
        <v>172</v>
      </c>
      <c r="C7" s="3">
        <v>396662</v>
      </c>
      <c r="D7" s="3">
        <v>4</v>
      </c>
      <c r="E7" t="s">
        <v>174</v>
      </c>
      <c r="F7" t="s">
        <v>558</v>
      </c>
      <c r="G7" t="s">
        <v>172</v>
      </c>
      <c r="H7" t="s">
        <v>539</v>
      </c>
      <c r="I7" t="s">
        <v>540</v>
      </c>
      <c r="J7" t="s">
        <v>541</v>
      </c>
      <c r="K7" t="s">
        <v>559</v>
      </c>
      <c r="L7" t="s">
        <v>68</v>
      </c>
      <c r="M7" t="s">
        <v>71</v>
      </c>
      <c r="N7" t="s">
        <v>68</v>
      </c>
      <c r="O7" t="s">
        <v>543</v>
      </c>
      <c r="P7" s="4">
        <v>0.45052839625685698</v>
      </c>
      <c r="Q7" s="4">
        <v>7.4362076528631427</v>
      </c>
    </row>
    <row r="8" spans="1:17" x14ac:dyDescent="0.25">
      <c r="A8" t="s">
        <v>560</v>
      </c>
      <c r="B8" t="s">
        <v>163</v>
      </c>
      <c r="C8" s="3">
        <v>391844</v>
      </c>
      <c r="D8" s="3">
        <v>48</v>
      </c>
      <c r="E8" t="s">
        <v>164</v>
      </c>
      <c r="F8" t="s">
        <v>561</v>
      </c>
      <c r="G8" t="s">
        <v>163</v>
      </c>
      <c r="H8" t="s">
        <v>539</v>
      </c>
      <c r="I8" t="s">
        <v>540</v>
      </c>
      <c r="J8" t="s">
        <v>541</v>
      </c>
      <c r="K8" t="s">
        <v>562</v>
      </c>
      <c r="L8" t="s">
        <v>68</v>
      </c>
      <c r="M8" t="s">
        <v>72</v>
      </c>
      <c r="N8" t="s">
        <v>68</v>
      </c>
      <c r="O8" t="s">
        <v>543</v>
      </c>
      <c r="P8" s="4">
        <v>0.26949415806508381</v>
      </c>
      <c r="Q8" s="4">
        <v>7.1230081358908137</v>
      </c>
    </row>
    <row r="9" spans="1:17" x14ac:dyDescent="0.25">
      <c r="A9" t="s">
        <v>563</v>
      </c>
      <c r="B9" t="s">
        <v>198</v>
      </c>
      <c r="C9" s="3">
        <v>353992</v>
      </c>
      <c r="D9" s="3">
        <v>2</v>
      </c>
      <c r="E9" t="s">
        <v>284</v>
      </c>
      <c r="F9" t="s">
        <v>564</v>
      </c>
      <c r="G9" t="s">
        <v>198</v>
      </c>
      <c r="H9" t="s">
        <v>539</v>
      </c>
      <c r="I9" t="s">
        <v>540</v>
      </c>
      <c r="J9" t="s">
        <v>541</v>
      </c>
      <c r="K9" t="s">
        <v>565</v>
      </c>
      <c r="L9" t="s">
        <v>68</v>
      </c>
      <c r="M9" t="s">
        <v>72</v>
      </c>
      <c r="N9" t="s">
        <v>68</v>
      </c>
      <c r="O9" t="s">
        <v>543</v>
      </c>
      <c r="P9" s="4">
        <v>0.40644623663507579</v>
      </c>
      <c r="Q9" s="4">
        <v>7.8956219349589816</v>
      </c>
    </row>
    <row r="10" spans="1:17" x14ac:dyDescent="0.25">
      <c r="A10" t="s">
        <v>566</v>
      </c>
      <c r="B10" t="s">
        <v>106</v>
      </c>
      <c r="C10" s="3">
        <v>329713</v>
      </c>
      <c r="D10" s="3">
        <v>9</v>
      </c>
      <c r="E10" t="s">
        <v>462</v>
      </c>
      <c r="F10" t="s">
        <v>567</v>
      </c>
      <c r="G10" t="s">
        <v>106</v>
      </c>
      <c r="H10" t="s">
        <v>539</v>
      </c>
      <c r="I10" t="s">
        <v>540</v>
      </c>
      <c r="J10" t="s">
        <v>541</v>
      </c>
      <c r="K10" t="s">
        <v>568</v>
      </c>
      <c r="L10" t="s">
        <v>68</v>
      </c>
      <c r="M10" t="s">
        <v>71</v>
      </c>
      <c r="N10" t="s">
        <v>68</v>
      </c>
      <c r="O10" t="s">
        <v>543</v>
      </c>
      <c r="P10" s="4">
        <v>0.33476774631497291</v>
      </c>
      <c r="Q10" s="4">
        <v>6.7472862762463111</v>
      </c>
    </row>
    <row r="11" spans="1:17" x14ac:dyDescent="0.25">
      <c r="A11" t="s">
        <v>569</v>
      </c>
      <c r="B11" t="s">
        <v>391</v>
      </c>
      <c r="C11" s="3">
        <v>303716</v>
      </c>
      <c r="D11" s="3">
        <v>1</v>
      </c>
      <c r="E11" t="s">
        <v>392</v>
      </c>
      <c r="F11" t="s">
        <v>570</v>
      </c>
      <c r="G11" t="s">
        <v>391</v>
      </c>
      <c r="H11" t="s">
        <v>539</v>
      </c>
      <c r="I11" t="s">
        <v>540</v>
      </c>
      <c r="J11" t="s">
        <v>541</v>
      </c>
      <c r="K11" t="s">
        <v>571</v>
      </c>
      <c r="L11" t="s">
        <v>68</v>
      </c>
      <c r="M11" t="s">
        <v>572</v>
      </c>
      <c r="N11" t="s">
        <v>68</v>
      </c>
      <c r="O11" t="s">
        <v>543</v>
      </c>
      <c r="P11" s="4">
        <v>0.82862232114341783</v>
      </c>
      <c r="Q11" s="4">
        <v>8.7847627388744751</v>
      </c>
    </row>
    <row r="12" spans="1:17" x14ac:dyDescent="0.25">
      <c r="A12" t="s">
        <v>573</v>
      </c>
      <c r="B12" t="s">
        <v>312</v>
      </c>
      <c r="C12" s="3">
        <v>269896</v>
      </c>
      <c r="D12" s="3">
        <v>12</v>
      </c>
      <c r="E12" t="s">
        <v>574</v>
      </c>
      <c r="F12" t="s">
        <v>575</v>
      </c>
      <c r="G12" t="s">
        <v>312</v>
      </c>
      <c r="H12" t="s">
        <v>539</v>
      </c>
      <c r="I12" t="s">
        <v>540</v>
      </c>
      <c r="J12" t="s">
        <v>541</v>
      </c>
      <c r="K12" t="s">
        <v>576</v>
      </c>
      <c r="L12" t="s">
        <v>68</v>
      </c>
      <c r="M12" t="s">
        <v>71</v>
      </c>
      <c r="N12" t="s">
        <v>68</v>
      </c>
      <c r="O12" t="s">
        <v>543</v>
      </c>
      <c r="P12" s="4">
        <v>0.20892373295429309</v>
      </c>
      <c r="Q12" s="4">
        <v>6.6565825354951533</v>
      </c>
    </row>
    <row r="13" spans="1:17" x14ac:dyDescent="0.25">
      <c r="A13" t="s">
        <v>577</v>
      </c>
      <c r="B13" t="s">
        <v>210</v>
      </c>
      <c r="C13" s="3">
        <v>266070</v>
      </c>
      <c r="D13" s="3">
        <v>5</v>
      </c>
      <c r="E13" t="s">
        <v>430</v>
      </c>
      <c r="F13" t="s">
        <v>578</v>
      </c>
      <c r="G13" t="s">
        <v>210</v>
      </c>
      <c r="H13" t="s">
        <v>539</v>
      </c>
      <c r="I13" t="s">
        <v>540</v>
      </c>
      <c r="J13" t="s">
        <v>541</v>
      </c>
      <c r="K13" t="s">
        <v>579</v>
      </c>
      <c r="L13" t="s">
        <v>68</v>
      </c>
      <c r="M13" t="s">
        <v>68</v>
      </c>
      <c r="N13" t="s">
        <v>68</v>
      </c>
      <c r="O13" t="s">
        <v>543</v>
      </c>
      <c r="P13" s="4">
        <v>0.20185715036684909</v>
      </c>
      <c r="Q13" s="4">
        <v>6.3703799751944974</v>
      </c>
    </row>
    <row r="14" spans="1:17" x14ac:dyDescent="0.25">
      <c r="A14" t="s">
        <v>580</v>
      </c>
      <c r="B14" t="s">
        <v>128</v>
      </c>
      <c r="C14" s="3">
        <v>262980</v>
      </c>
      <c r="D14" s="3">
        <v>2</v>
      </c>
      <c r="E14" t="s">
        <v>148</v>
      </c>
      <c r="F14" t="s">
        <v>581</v>
      </c>
      <c r="G14" t="s">
        <v>128</v>
      </c>
      <c r="H14" t="s">
        <v>539</v>
      </c>
      <c r="I14" t="s">
        <v>540</v>
      </c>
      <c r="J14" t="s">
        <v>541</v>
      </c>
      <c r="K14" t="s">
        <v>582</v>
      </c>
      <c r="L14" t="s">
        <v>68</v>
      </c>
      <c r="M14" t="s">
        <v>68</v>
      </c>
      <c r="N14" t="s">
        <v>68</v>
      </c>
      <c r="O14" t="s">
        <v>543</v>
      </c>
      <c r="P14" s="4">
        <v>0.1948800571500226</v>
      </c>
      <c r="Q14" s="4">
        <v>7.6390257814282458</v>
      </c>
    </row>
    <row r="15" spans="1:17" x14ac:dyDescent="0.25">
      <c r="A15" t="s">
        <v>583</v>
      </c>
      <c r="B15" t="s">
        <v>192</v>
      </c>
      <c r="C15" s="3">
        <v>249648</v>
      </c>
      <c r="D15" s="3">
        <v>2</v>
      </c>
      <c r="E15" t="s">
        <v>193</v>
      </c>
      <c r="F15" t="s">
        <v>584</v>
      </c>
      <c r="G15" t="s">
        <v>192</v>
      </c>
      <c r="H15" t="s">
        <v>539</v>
      </c>
      <c r="I15" t="s">
        <v>540</v>
      </c>
      <c r="J15" t="s">
        <v>541</v>
      </c>
      <c r="K15" t="s">
        <v>585</v>
      </c>
      <c r="L15" t="s">
        <v>68</v>
      </c>
      <c r="M15" t="s">
        <v>72</v>
      </c>
      <c r="N15" t="s">
        <v>68</v>
      </c>
      <c r="O15" t="s">
        <v>543</v>
      </c>
      <c r="P15" s="4">
        <v>0.68968390021949144</v>
      </c>
      <c r="Q15" s="4">
        <v>7.7948030827404988</v>
      </c>
    </row>
    <row r="16" spans="1:17" x14ac:dyDescent="0.25">
      <c r="A16" t="s">
        <v>586</v>
      </c>
      <c r="B16" t="s">
        <v>376</v>
      </c>
      <c r="C16" s="3">
        <v>236929</v>
      </c>
      <c r="D16" s="3">
        <v>7</v>
      </c>
      <c r="E16" t="s">
        <v>440</v>
      </c>
      <c r="F16" t="s">
        <v>587</v>
      </c>
      <c r="G16" t="s">
        <v>376</v>
      </c>
      <c r="H16" t="s">
        <v>539</v>
      </c>
      <c r="I16" t="s">
        <v>540</v>
      </c>
      <c r="J16" t="s">
        <v>541</v>
      </c>
      <c r="K16" t="s">
        <v>588</v>
      </c>
      <c r="L16" t="s">
        <v>68</v>
      </c>
      <c r="M16" t="s">
        <v>589</v>
      </c>
      <c r="N16" t="s">
        <v>68</v>
      </c>
      <c r="O16" t="s">
        <v>543</v>
      </c>
      <c r="P16" s="4">
        <v>0.29742927444848211</v>
      </c>
      <c r="Q16" s="4">
        <v>7.7952255739061069</v>
      </c>
    </row>
    <row r="17" spans="1:17" x14ac:dyDescent="0.25">
      <c r="A17" t="s">
        <v>590</v>
      </c>
      <c r="B17" t="s">
        <v>126</v>
      </c>
      <c r="C17" s="3">
        <v>236522</v>
      </c>
      <c r="D17" s="3">
        <v>4</v>
      </c>
      <c r="E17" t="s">
        <v>179</v>
      </c>
      <c r="F17" t="s">
        <v>591</v>
      </c>
      <c r="G17" t="s">
        <v>126</v>
      </c>
      <c r="H17" t="s">
        <v>539</v>
      </c>
      <c r="I17" t="s">
        <v>540</v>
      </c>
      <c r="J17" t="s">
        <v>541</v>
      </c>
      <c r="K17" t="s">
        <v>592</v>
      </c>
      <c r="L17" t="s">
        <v>68</v>
      </c>
      <c r="M17" t="s">
        <v>71</v>
      </c>
      <c r="N17" t="s">
        <v>68</v>
      </c>
      <c r="O17" t="s">
        <v>543</v>
      </c>
      <c r="P17" s="4">
        <v>0.23034040037165299</v>
      </c>
      <c r="Q17" s="4">
        <v>6.5143284768435921</v>
      </c>
    </row>
    <row r="18" spans="1:17" x14ac:dyDescent="0.25">
      <c r="A18" t="s">
        <v>593</v>
      </c>
      <c r="B18" t="s">
        <v>94</v>
      </c>
      <c r="C18" s="3">
        <v>235576</v>
      </c>
      <c r="D18" s="3">
        <v>1</v>
      </c>
      <c r="E18" t="s">
        <v>95</v>
      </c>
      <c r="F18" t="s">
        <v>594</v>
      </c>
      <c r="G18" t="s">
        <v>94</v>
      </c>
      <c r="H18" t="s">
        <v>539</v>
      </c>
      <c r="I18" t="s">
        <v>540</v>
      </c>
      <c r="J18" t="s">
        <v>541</v>
      </c>
      <c r="K18" t="s">
        <v>595</v>
      </c>
      <c r="L18" t="s">
        <v>68</v>
      </c>
      <c r="M18" t="s">
        <v>596</v>
      </c>
      <c r="N18" t="s">
        <v>68</v>
      </c>
      <c r="O18" t="s">
        <v>543</v>
      </c>
      <c r="P18" s="4">
        <v>0.83227783625929574</v>
      </c>
      <c r="Q18" s="4">
        <v>7.873705301049343</v>
      </c>
    </row>
    <row r="19" spans="1:17" x14ac:dyDescent="0.25">
      <c r="A19" t="s">
        <v>597</v>
      </c>
      <c r="B19" t="s">
        <v>389</v>
      </c>
      <c r="C19" s="3">
        <v>224210</v>
      </c>
      <c r="D19" s="3">
        <v>1</v>
      </c>
      <c r="E19" t="s">
        <v>390</v>
      </c>
      <c r="F19" t="s">
        <v>598</v>
      </c>
      <c r="G19" t="s">
        <v>389</v>
      </c>
      <c r="H19" t="s">
        <v>539</v>
      </c>
      <c r="I19" t="s">
        <v>540</v>
      </c>
      <c r="J19" t="s">
        <v>541</v>
      </c>
      <c r="K19" t="s">
        <v>599</v>
      </c>
      <c r="L19" t="s">
        <v>68</v>
      </c>
      <c r="M19" t="s">
        <v>589</v>
      </c>
      <c r="N19" t="s">
        <v>68</v>
      </c>
      <c r="O19" t="s">
        <v>543</v>
      </c>
      <c r="P19" s="4">
        <v>0.74604172799200763</v>
      </c>
      <c r="Q19" s="4">
        <v>9.2372597118772575</v>
      </c>
    </row>
    <row r="20" spans="1:17" x14ac:dyDescent="0.25">
      <c r="A20" t="s">
        <v>600</v>
      </c>
      <c r="B20" t="s">
        <v>341</v>
      </c>
      <c r="C20" s="3">
        <v>224073</v>
      </c>
      <c r="D20" s="3">
        <v>10</v>
      </c>
      <c r="E20" t="s">
        <v>342</v>
      </c>
      <c r="F20" t="s">
        <v>601</v>
      </c>
      <c r="G20" t="s">
        <v>341</v>
      </c>
      <c r="H20" t="s">
        <v>539</v>
      </c>
      <c r="I20" t="s">
        <v>540</v>
      </c>
      <c r="J20" t="s">
        <v>541</v>
      </c>
      <c r="K20" t="s">
        <v>602</v>
      </c>
      <c r="L20" t="s">
        <v>68</v>
      </c>
      <c r="M20" t="s">
        <v>68</v>
      </c>
      <c r="N20" t="s">
        <v>68</v>
      </c>
      <c r="O20" t="s">
        <v>543</v>
      </c>
      <c r="P20" s="4">
        <v>0.1173063191717244</v>
      </c>
      <c r="Q20" s="4">
        <v>7.8315950605383069</v>
      </c>
    </row>
    <row r="21" spans="1:17" x14ac:dyDescent="0.25">
      <c r="A21" t="s">
        <v>603</v>
      </c>
      <c r="B21" t="s">
        <v>102</v>
      </c>
      <c r="C21" s="3">
        <v>194529</v>
      </c>
      <c r="D21" s="3">
        <v>1</v>
      </c>
      <c r="E21" t="s">
        <v>103</v>
      </c>
      <c r="F21" t="s">
        <v>604</v>
      </c>
      <c r="G21" t="s">
        <v>102</v>
      </c>
      <c r="H21" t="s">
        <v>539</v>
      </c>
      <c r="I21" t="s">
        <v>540</v>
      </c>
      <c r="J21" t="s">
        <v>541</v>
      </c>
      <c r="K21" t="s">
        <v>605</v>
      </c>
      <c r="L21" t="s">
        <v>68</v>
      </c>
      <c r="M21" t="s">
        <v>68</v>
      </c>
      <c r="N21" t="s">
        <v>68</v>
      </c>
      <c r="O21" t="s">
        <v>543</v>
      </c>
      <c r="P21" s="4">
        <v>0.5263750385524828</v>
      </c>
      <c r="Q21" s="4">
        <v>7.6288368315264048</v>
      </c>
    </row>
    <row r="22" spans="1:17" x14ac:dyDescent="0.25">
      <c r="A22" t="s">
        <v>606</v>
      </c>
      <c r="B22" t="s">
        <v>296</v>
      </c>
      <c r="C22" s="3">
        <v>193691</v>
      </c>
      <c r="D22" s="3">
        <v>4</v>
      </c>
      <c r="E22" t="s">
        <v>298</v>
      </c>
      <c r="F22" t="s">
        <v>607</v>
      </c>
      <c r="G22" t="s">
        <v>296</v>
      </c>
      <c r="H22" t="s">
        <v>539</v>
      </c>
      <c r="I22" t="s">
        <v>540</v>
      </c>
      <c r="J22" t="s">
        <v>541</v>
      </c>
      <c r="K22" t="s">
        <v>608</v>
      </c>
      <c r="L22" t="s">
        <v>68</v>
      </c>
      <c r="M22" t="s">
        <v>74</v>
      </c>
      <c r="N22" t="s">
        <v>68</v>
      </c>
      <c r="O22" t="s">
        <v>543</v>
      </c>
      <c r="P22" s="4">
        <v>0.58380228608010576</v>
      </c>
      <c r="Q22" s="4">
        <v>8.8491153435110554</v>
      </c>
    </row>
    <row r="23" spans="1:17" x14ac:dyDescent="0.25">
      <c r="A23" t="s">
        <v>609</v>
      </c>
      <c r="B23" t="s">
        <v>395</v>
      </c>
      <c r="C23" s="3">
        <v>191824</v>
      </c>
      <c r="D23" s="3">
        <v>1</v>
      </c>
      <c r="E23" t="s">
        <v>396</v>
      </c>
      <c r="F23" t="s">
        <v>610</v>
      </c>
      <c r="G23" t="s">
        <v>395</v>
      </c>
      <c r="H23" t="s">
        <v>539</v>
      </c>
      <c r="I23" t="s">
        <v>540</v>
      </c>
      <c r="J23" t="s">
        <v>541</v>
      </c>
      <c r="K23" t="s">
        <v>611</v>
      </c>
      <c r="L23" t="s">
        <v>68</v>
      </c>
      <c r="M23" t="s">
        <v>68</v>
      </c>
      <c r="N23" t="s">
        <v>68</v>
      </c>
      <c r="O23" t="s">
        <v>543</v>
      </c>
      <c r="P23" s="4">
        <v>0.81433448878000469</v>
      </c>
      <c r="Q23" s="4">
        <v>8.1975821586454245</v>
      </c>
    </row>
    <row r="24" spans="1:17" x14ac:dyDescent="0.25">
      <c r="A24" t="s">
        <v>612</v>
      </c>
      <c r="B24" t="s">
        <v>485</v>
      </c>
      <c r="C24" s="3">
        <v>191632</v>
      </c>
      <c r="D24" s="3">
        <v>2</v>
      </c>
      <c r="E24" t="s">
        <v>486</v>
      </c>
      <c r="F24" t="s">
        <v>613</v>
      </c>
      <c r="G24" t="s">
        <v>485</v>
      </c>
      <c r="H24" t="s">
        <v>539</v>
      </c>
      <c r="I24" t="s">
        <v>540</v>
      </c>
      <c r="J24" t="s">
        <v>541</v>
      </c>
      <c r="K24" t="s">
        <v>614</v>
      </c>
      <c r="L24" t="s">
        <v>68</v>
      </c>
      <c r="M24" t="s">
        <v>71</v>
      </c>
      <c r="N24" t="s">
        <v>68</v>
      </c>
      <c r="O24" t="s">
        <v>543</v>
      </c>
      <c r="P24" s="4">
        <v>0.93158147398301017</v>
      </c>
      <c r="Q24" s="4">
        <v>7.6502097770727229</v>
      </c>
    </row>
    <row r="25" spans="1:17" x14ac:dyDescent="0.25">
      <c r="A25" t="s">
        <v>615</v>
      </c>
      <c r="B25" t="s">
        <v>490</v>
      </c>
      <c r="C25" s="3">
        <v>190056</v>
      </c>
      <c r="D25" s="3">
        <v>4</v>
      </c>
      <c r="E25" t="s">
        <v>616</v>
      </c>
      <c r="F25" t="s">
        <v>617</v>
      </c>
      <c r="G25" t="s">
        <v>490</v>
      </c>
      <c r="H25" t="s">
        <v>539</v>
      </c>
      <c r="I25" t="s">
        <v>540</v>
      </c>
      <c r="J25" t="s">
        <v>541</v>
      </c>
      <c r="K25" t="s">
        <v>618</v>
      </c>
      <c r="L25" t="s">
        <v>68</v>
      </c>
      <c r="M25" t="s">
        <v>71</v>
      </c>
      <c r="N25" t="s">
        <v>68</v>
      </c>
      <c r="O25" t="s">
        <v>543</v>
      </c>
      <c r="P25" s="4">
        <v>0.4228771959361699</v>
      </c>
      <c r="Q25" s="4">
        <v>7.7251652144631056</v>
      </c>
    </row>
    <row r="26" spans="1:17" x14ac:dyDescent="0.25">
      <c r="A26" t="s">
        <v>619</v>
      </c>
      <c r="B26" t="s">
        <v>348</v>
      </c>
      <c r="C26" s="3">
        <v>184845</v>
      </c>
      <c r="D26" s="3">
        <v>7</v>
      </c>
      <c r="E26" t="s">
        <v>620</v>
      </c>
      <c r="F26" t="s">
        <v>621</v>
      </c>
      <c r="G26" t="s">
        <v>348</v>
      </c>
      <c r="H26" t="s">
        <v>539</v>
      </c>
      <c r="I26" t="s">
        <v>540</v>
      </c>
      <c r="J26" t="s">
        <v>541</v>
      </c>
      <c r="K26" t="s">
        <v>622</v>
      </c>
      <c r="L26" t="s">
        <v>68</v>
      </c>
      <c r="M26" t="s">
        <v>71</v>
      </c>
      <c r="N26" t="s">
        <v>68</v>
      </c>
      <c r="O26" t="s">
        <v>543</v>
      </c>
      <c r="P26" s="4">
        <v>0.52259596659021079</v>
      </c>
      <c r="Q26" s="4">
        <v>7.0804133192674943</v>
      </c>
    </row>
    <row r="27" spans="1:17" x14ac:dyDescent="0.25">
      <c r="A27" t="s">
        <v>623</v>
      </c>
      <c r="B27" t="s">
        <v>190</v>
      </c>
      <c r="C27" s="3">
        <v>177348</v>
      </c>
      <c r="D27" s="3">
        <v>2</v>
      </c>
      <c r="E27" t="s">
        <v>375</v>
      </c>
      <c r="F27" t="s">
        <v>624</v>
      </c>
      <c r="G27" t="s">
        <v>190</v>
      </c>
      <c r="H27" t="s">
        <v>539</v>
      </c>
      <c r="I27" t="s">
        <v>540</v>
      </c>
      <c r="J27" t="s">
        <v>541</v>
      </c>
      <c r="K27" t="s">
        <v>625</v>
      </c>
      <c r="L27" t="s">
        <v>68</v>
      </c>
      <c r="M27" t="s">
        <v>71</v>
      </c>
      <c r="N27" t="s">
        <v>68</v>
      </c>
      <c r="O27" t="s">
        <v>543</v>
      </c>
      <c r="P27" s="4">
        <v>0.26041384754172298</v>
      </c>
      <c r="Q27" s="4">
        <v>8.2368337957011075</v>
      </c>
    </row>
    <row r="28" spans="1:17" x14ac:dyDescent="0.25">
      <c r="A28" t="s">
        <v>626</v>
      </c>
      <c r="B28" t="s">
        <v>482</v>
      </c>
      <c r="C28" s="3">
        <v>172921</v>
      </c>
      <c r="D28" s="3">
        <v>2</v>
      </c>
      <c r="E28" t="s">
        <v>627</v>
      </c>
      <c r="F28" t="s">
        <v>628</v>
      </c>
      <c r="G28" t="s">
        <v>482</v>
      </c>
      <c r="H28" t="s">
        <v>539</v>
      </c>
      <c r="I28" t="s">
        <v>540</v>
      </c>
      <c r="J28" t="s">
        <v>541</v>
      </c>
      <c r="K28" t="s">
        <v>629</v>
      </c>
      <c r="L28" t="s">
        <v>68</v>
      </c>
      <c r="M28" t="s">
        <v>71</v>
      </c>
      <c r="N28" t="s">
        <v>68</v>
      </c>
      <c r="O28" t="s">
        <v>543</v>
      </c>
      <c r="P28" s="4">
        <v>0.55609524800795662</v>
      </c>
      <c r="Q28" s="4">
        <v>8.2303421793767093</v>
      </c>
    </row>
    <row r="29" spans="1:17" x14ac:dyDescent="0.25">
      <c r="A29" t="s">
        <v>630</v>
      </c>
      <c r="B29" t="s">
        <v>223</v>
      </c>
      <c r="C29" s="3">
        <v>167689</v>
      </c>
      <c r="D29" s="3">
        <v>4</v>
      </c>
      <c r="E29" t="s">
        <v>518</v>
      </c>
      <c r="F29" t="s">
        <v>631</v>
      </c>
      <c r="G29" t="s">
        <v>223</v>
      </c>
      <c r="H29" t="s">
        <v>539</v>
      </c>
      <c r="I29" t="s">
        <v>540</v>
      </c>
      <c r="J29" t="s">
        <v>541</v>
      </c>
      <c r="K29" t="s">
        <v>632</v>
      </c>
      <c r="L29" t="s">
        <v>68</v>
      </c>
      <c r="M29" t="s">
        <v>596</v>
      </c>
      <c r="N29" t="s">
        <v>68</v>
      </c>
      <c r="O29" t="s">
        <v>543</v>
      </c>
      <c r="P29" s="4">
        <v>9.8937337499701836E-2</v>
      </c>
      <c r="Q29" s="4">
        <v>7.6969866836822929</v>
      </c>
    </row>
    <row r="30" spans="1:17" x14ac:dyDescent="0.25">
      <c r="A30" t="s">
        <v>633</v>
      </c>
      <c r="B30" t="s">
        <v>432</v>
      </c>
      <c r="C30" s="3">
        <v>165447</v>
      </c>
      <c r="D30" s="3">
        <v>4</v>
      </c>
      <c r="E30" t="s">
        <v>634</v>
      </c>
      <c r="F30" t="s">
        <v>635</v>
      </c>
      <c r="G30" t="s">
        <v>432</v>
      </c>
      <c r="H30" t="s">
        <v>539</v>
      </c>
      <c r="I30" t="s">
        <v>540</v>
      </c>
      <c r="J30" t="s">
        <v>541</v>
      </c>
      <c r="K30" t="s">
        <v>636</v>
      </c>
      <c r="L30" t="s">
        <v>68</v>
      </c>
      <c r="M30" t="s">
        <v>71</v>
      </c>
      <c r="N30" t="s">
        <v>68</v>
      </c>
      <c r="O30" t="s">
        <v>543</v>
      </c>
      <c r="P30" s="4">
        <v>0.143989072689581</v>
      </c>
      <c r="Q30" s="4">
        <v>6.7193240131280714</v>
      </c>
    </row>
    <row r="31" spans="1:17" x14ac:dyDescent="0.25">
      <c r="A31" t="s">
        <v>637</v>
      </c>
      <c r="B31" t="s">
        <v>399</v>
      </c>
      <c r="C31" s="3">
        <v>159464</v>
      </c>
      <c r="D31" s="3">
        <v>4</v>
      </c>
      <c r="E31" t="s">
        <v>638</v>
      </c>
      <c r="F31" t="s">
        <v>639</v>
      </c>
      <c r="G31" t="s">
        <v>399</v>
      </c>
      <c r="H31" t="s">
        <v>539</v>
      </c>
      <c r="I31" t="s">
        <v>540</v>
      </c>
      <c r="J31" t="s">
        <v>541</v>
      </c>
      <c r="K31" t="s">
        <v>640</v>
      </c>
      <c r="L31" t="s">
        <v>68</v>
      </c>
      <c r="M31" t="s">
        <v>72</v>
      </c>
      <c r="N31" t="s">
        <v>68</v>
      </c>
      <c r="O31" t="s">
        <v>543</v>
      </c>
      <c r="P31" s="4">
        <v>0</v>
      </c>
      <c r="Q31" s="4">
        <v>6.8004502583655242</v>
      </c>
    </row>
    <row r="32" spans="1:17" x14ac:dyDescent="0.25">
      <c r="A32" t="s">
        <v>641</v>
      </c>
      <c r="B32" t="s">
        <v>253</v>
      </c>
      <c r="C32" s="3">
        <v>154568</v>
      </c>
      <c r="D32" s="3">
        <v>1</v>
      </c>
      <c r="E32" t="s">
        <v>254</v>
      </c>
      <c r="F32" t="s">
        <v>642</v>
      </c>
      <c r="G32" t="s">
        <v>253</v>
      </c>
      <c r="H32" t="s">
        <v>643</v>
      </c>
      <c r="I32" t="s">
        <v>540</v>
      </c>
      <c r="J32" t="s">
        <v>541</v>
      </c>
      <c r="K32" t="s">
        <v>644</v>
      </c>
      <c r="L32" t="s">
        <v>68</v>
      </c>
      <c r="M32" t="s">
        <v>596</v>
      </c>
      <c r="N32" t="s">
        <v>68</v>
      </c>
      <c r="O32" t="s">
        <v>543</v>
      </c>
      <c r="P32" s="4">
        <v>0.85091379589196181</v>
      </c>
      <c r="Q32" s="4">
        <v>7.8112934113141144</v>
      </c>
    </row>
    <row r="33" spans="1:17" x14ac:dyDescent="0.25">
      <c r="A33" t="s">
        <v>645</v>
      </c>
      <c r="B33" t="s">
        <v>131</v>
      </c>
      <c r="C33" s="3">
        <v>154493</v>
      </c>
      <c r="D33" s="3">
        <v>15</v>
      </c>
      <c r="E33" t="s">
        <v>132</v>
      </c>
      <c r="F33" t="s">
        <v>646</v>
      </c>
      <c r="G33" t="s">
        <v>131</v>
      </c>
      <c r="H33" t="s">
        <v>539</v>
      </c>
      <c r="I33" t="s">
        <v>540</v>
      </c>
      <c r="J33" t="s">
        <v>541</v>
      </c>
      <c r="K33" t="s">
        <v>647</v>
      </c>
      <c r="L33" t="s">
        <v>68</v>
      </c>
      <c r="M33" t="s">
        <v>589</v>
      </c>
      <c r="N33" t="s">
        <v>68</v>
      </c>
      <c r="O33" t="s">
        <v>543</v>
      </c>
      <c r="P33" s="4">
        <v>2.379935275080906E-2</v>
      </c>
      <c r="Q33" s="4">
        <v>7.2271688684924236</v>
      </c>
    </row>
    <row r="34" spans="1:17" x14ac:dyDescent="0.25">
      <c r="A34" t="s">
        <v>648</v>
      </c>
      <c r="B34" t="s">
        <v>116</v>
      </c>
      <c r="C34" s="3">
        <v>154394</v>
      </c>
      <c r="D34" s="3">
        <v>1</v>
      </c>
      <c r="E34" t="s">
        <v>117</v>
      </c>
      <c r="F34" t="s">
        <v>649</v>
      </c>
      <c r="G34" t="s">
        <v>116</v>
      </c>
      <c r="H34" t="s">
        <v>539</v>
      </c>
      <c r="I34" t="s">
        <v>540</v>
      </c>
      <c r="J34" t="s">
        <v>541</v>
      </c>
      <c r="K34" t="s">
        <v>650</v>
      </c>
      <c r="L34" t="s">
        <v>68</v>
      </c>
      <c r="M34" t="s">
        <v>68</v>
      </c>
      <c r="N34" t="s">
        <v>68</v>
      </c>
      <c r="O34" t="s">
        <v>543</v>
      </c>
      <c r="P34" s="4">
        <v>0.69338082901554399</v>
      </c>
      <c r="Q34" s="4">
        <v>8.9195694133191701</v>
      </c>
    </row>
    <row r="35" spans="1:17" x14ac:dyDescent="0.25">
      <c r="A35" t="s">
        <v>651</v>
      </c>
      <c r="B35" t="s">
        <v>205</v>
      </c>
      <c r="C35" s="3">
        <v>152953</v>
      </c>
      <c r="D35" s="3">
        <v>4</v>
      </c>
      <c r="E35" t="s">
        <v>315</v>
      </c>
      <c r="F35" t="s">
        <v>652</v>
      </c>
      <c r="G35" t="s">
        <v>205</v>
      </c>
      <c r="H35" t="s">
        <v>539</v>
      </c>
      <c r="I35" t="s">
        <v>540</v>
      </c>
      <c r="J35" t="s">
        <v>541</v>
      </c>
      <c r="K35" t="s">
        <v>653</v>
      </c>
      <c r="L35" t="s">
        <v>68</v>
      </c>
      <c r="M35" t="s">
        <v>71</v>
      </c>
      <c r="N35" t="s">
        <v>68</v>
      </c>
      <c r="O35" t="s">
        <v>543</v>
      </c>
      <c r="P35" s="4">
        <v>2.6150114733628389E-5</v>
      </c>
      <c r="Q35" s="4">
        <v>6.7233463874523549</v>
      </c>
    </row>
    <row r="36" spans="1:17" x14ac:dyDescent="0.25">
      <c r="A36" t="s">
        <v>654</v>
      </c>
      <c r="B36" t="s">
        <v>92</v>
      </c>
      <c r="C36" s="3">
        <v>152450</v>
      </c>
      <c r="D36" s="3">
        <v>1</v>
      </c>
      <c r="E36" t="s">
        <v>93</v>
      </c>
      <c r="F36" t="s">
        <v>655</v>
      </c>
      <c r="G36" t="s">
        <v>92</v>
      </c>
      <c r="H36" t="s">
        <v>539</v>
      </c>
      <c r="I36" t="s">
        <v>540</v>
      </c>
      <c r="J36" t="s">
        <v>541</v>
      </c>
      <c r="K36" t="s">
        <v>656</v>
      </c>
      <c r="L36" t="s">
        <v>68</v>
      </c>
      <c r="M36" t="s">
        <v>68</v>
      </c>
      <c r="N36" t="s">
        <v>68</v>
      </c>
      <c r="O36" t="s">
        <v>543</v>
      </c>
      <c r="P36" s="4">
        <v>0</v>
      </c>
      <c r="Q36" s="4">
        <v>6.3468153492948511</v>
      </c>
    </row>
    <row r="37" spans="1:17" x14ac:dyDescent="0.25">
      <c r="A37" t="s">
        <v>657</v>
      </c>
      <c r="B37" t="s">
        <v>138</v>
      </c>
      <c r="C37" s="3">
        <v>151905</v>
      </c>
      <c r="D37" s="3">
        <v>1</v>
      </c>
      <c r="E37" t="s">
        <v>139</v>
      </c>
      <c r="F37" t="s">
        <v>658</v>
      </c>
      <c r="G37" t="s">
        <v>138</v>
      </c>
      <c r="H37" t="s">
        <v>539</v>
      </c>
      <c r="I37" t="s">
        <v>540</v>
      </c>
      <c r="J37" t="s">
        <v>541</v>
      </c>
      <c r="K37" t="s">
        <v>659</v>
      </c>
      <c r="L37" t="s">
        <v>68</v>
      </c>
      <c r="M37" t="s">
        <v>68</v>
      </c>
      <c r="N37" t="s">
        <v>68</v>
      </c>
      <c r="O37" t="s">
        <v>543</v>
      </c>
      <c r="P37" s="4">
        <v>0.16862290743678701</v>
      </c>
      <c r="Q37" s="4">
        <v>7.6977782166485644</v>
      </c>
    </row>
    <row r="38" spans="1:17" x14ac:dyDescent="0.25">
      <c r="A38" t="s">
        <v>660</v>
      </c>
      <c r="B38" t="s">
        <v>412</v>
      </c>
      <c r="C38" s="3">
        <v>151652</v>
      </c>
      <c r="D38" s="3">
        <v>1</v>
      </c>
      <c r="E38" t="s">
        <v>413</v>
      </c>
      <c r="F38" t="s">
        <v>661</v>
      </c>
      <c r="G38" t="s">
        <v>412</v>
      </c>
      <c r="H38" t="s">
        <v>539</v>
      </c>
      <c r="I38" t="s">
        <v>540</v>
      </c>
      <c r="J38" t="s">
        <v>541</v>
      </c>
      <c r="K38" t="s">
        <v>662</v>
      </c>
      <c r="L38" t="s">
        <v>68</v>
      </c>
      <c r="M38" t="s">
        <v>68</v>
      </c>
      <c r="N38" t="s">
        <v>68</v>
      </c>
      <c r="O38" t="s">
        <v>543</v>
      </c>
      <c r="P38" s="4">
        <v>0</v>
      </c>
      <c r="Q38" s="4">
        <v>6.3689104001266053</v>
      </c>
    </row>
    <row r="39" spans="1:17" x14ac:dyDescent="0.25">
      <c r="A39" t="s">
        <v>663</v>
      </c>
      <c r="B39" t="s">
        <v>664</v>
      </c>
      <c r="C39" s="3">
        <v>150717</v>
      </c>
      <c r="D39" s="3">
        <v>2</v>
      </c>
      <c r="E39" t="s">
        <v>665</v>
      </c>
      <c r="F39" t="s">
        <v>666</v>
      </c>
      <c r="G39" t="s">
        <v>664</v>
      </c>
      <c r="H39" t="s">
        <v>539</v>
      </c>
      <c r="I39" t="s">
        <v>540</v>
      </c>
      <c r="J39" t="s">
        <v>541</v>
      </c>
      <c r="K39" t="s">
        <v>667</v>
      </c>
      <c r="L39" t="s">
        <v>68</v>
      </c>
      <c r="M39" t="s">
        <v>68</v>
      </c>
      <c r="N39" t="s">
        <v>68</v>
      </c>
      <c r="O39" t="s">
        <v>543</v>
      </c>
      <c r="P39" s="4">
        <v>6.8073248407643314E-3</v>
      </c>
      <c r="Q39" s="4">
        <v>7.0238924607044986</v>
      </c>
    </row>
    <row r="40" spans="1:17" x14ac:dyDescent="0.25">
      <c r="A40" t="s">
        <v>668</v>
      </c>
      <c r="B40" t="s">
        <v>355</v>
      </c>
      <c r="C40" s="3">
        <v>146370</v>
      </c>
      <c r="D40" s="3">
        <v>2</v>
      </c>
      <c r="E40" t="s">
        <v>356</v>
      </c>
      <c r="F40" t="s">
        <v>669</v>
      </c>
      <c r="G40" t="s">
        <v>355</v>
      </c>
      <c r="H40" t="s">
        <v>539</v>
      </c>
      <c r="I40" t="s">
        <v>540</v>
      </c>
      <c r="J40" t="s">
        <v>541</v>
      </c>
      <c r="K40" t="s">
        <v>670</v>
      </c>
      <c r="L40" t="s">
        <v>68</v>
      </c>
      <c r="M40" t="s">
        <v>71</v>
      </c>
      <c r="N40" t="s">
        <v>68</v>
      </c>
      <c r="O40" t="s">
        <v>543</v>
      </c>
      <c r="P40" s="4">
        <v>1.141564989274345E-2</v>
      </c>
      <c r="Q40" s="4">
        <v>6.7044066407050629</v>
      </c>
    </row>
    <row r="41" spans="1:17" x14ac:dyDescent="0.25">
      <c r="A41" t="s">
        <v>671</v>
      </c>
      <c r="B41" t="s">
        <v>118</v>
      </c>
      <c r="C41" s="3">
        <v>142805</v>
      </c>
      <c r="D41" s="3">
        <v>1</v>
      </c>
      <c r="E41" t="s">
        <v>119</v>
      </c>
      <c r="F41" t="s">
        <v>672</v>
      </c>
      <c r="G41" t="s">
        <v>118</v>
      </c>
      <c r="H41" t="s">
        <v>539</v>
      </c>
      <c r="I41" t="s">
        <v>540</v>
      </c>
      <c r="J41" t="s">
        <v>541</v>
      </c>
      <c r="K41" t="s">
        <v>673</v>
      </c>
      <c r="L41" t="s">
        <v>68</v>
      </c>
      <c r="M41" t="s">
        <v>68</v>
      </c>
      <c r="N41" t="s">
        <v>68</v>
      </c>
      <c r="O41" t="s">
        <v>543</v>
      </c>
      <c r="P41" s="4">
        <v>3.6369747428419377E-2</v>
      </c>
      <c r="Q41" s="4">
        <v>6.5279296943384333</v>
      </c>
    </row>
    <row r="42" spans="1:17" x14ac:dyDescent="0.25">
      <c r="A42" t="s">
        <v>674</v>
      </c>
      <c r="B42" t="s">
        <v>104</v>
      </c>
      <c r="C42" s="3">
        <v>141387</v>
      </c>
      <c r="D42" s="3">
        <v>1</v>
      </c>
      <c r="E42" t="s">
        <v>105</v>
      </c>
      <c r="F42" t="s">
        <v>675</v>
      </c>
      <c r="G42" t="s">
        <v>104</v>
      </c>
      <c r="H42" t="s">
        <v>539</v>
      </c>
      <c r="I42" t="s">
        <v>540</v>
      </c>
      <c r="J42" t="s">
        <v>541</v>
      </c>
      <c r="K42" t="s">
        <v>676</v>
      </c>
      <c r="L42" t="s">
        <v>68</v>
      </c>
      <c r="M42" t="s">
        <v>677</v>
      </c>
      <c r="N42" t="s">
        <v>68</v>
      </c>
      <c r="O42" t="s">
        <v>543</v>
      </c>
      <c r="P42" s="4">
        <v>0.26910101631622502</v>
      </c>
      <c r="Q42" s="4">
        <v>7.6590492761003484</v>
      </c>
    </row>
    <row r="43" spans="1:17" x14ac:dyDescent="0.25">
      <c r="A43" t="s">
        <v>678</v>
      </c>
      <c r="B43" t="s">
        <v>365</v>
      </c>
      <c r="C43" s="3">
        <v>140153</v>
      </c>
      <c r="D43" s="3">
        <v>2</v>
      </c>
      <c r="E43" t="s">
        <v>366</v>
      </c>
      <c r="F43" t="s">
        <v>679</v>
      </c>
      <c r="G43" t="s">
        <v>365</v>
      </c>
      <c r="H43" t="s">
        <v>539</v>
      </c>
      <c r="I43" t="s">
        <v>540</v>
      </c>
      <c r="J43" t="s">
        <v>541</v>
      </c>
      <c r="K43" t="s">
        <v>680</v>
      </c>
      <c r="L43" t="s">
        <v>68</v>
      </c>
      <c r="M43" t="s">
        <v>596</v>
      </c>
      <c r="N43" t="s">
        <v>68</v>
      </c>
      <c r="O43" t="s">
        <v>543</v>
      </c>
      <c r="P43" s="4">
        <v>0.75453053652968038</v>
      </c>
      <c r="Q43" s="4">
        <v>9.3641520338487219</v>
      </c>
    </row>
    <row r="44" spans="1:17" x14ac:dyDescent="0.25">
      <c r="A44" t="s">
        <v>681</v>
      </c>
      <c r="B44" t="s">
        <v>384</v>
      </c>
      <c r="C44" s="3">
        <v>139228</v>
      </c>
      <c r="D44" s="3">
        <v>1</v>
      </c>
      <c r="E44" t="s">
        <v>385</v>
      </c>
      <c r="F44" t="s">
        <v>682</v>
      </c>
      <c r="G44" t="s">
        <v>384</v>
      </c>
      <c r="H44" t="s">
        <v>539</v>
      </c>
      <c r="I44" t="s">
        <v>540</v>
      </c>
      <c r="J44" t="s">
        <v>541</v>
      </c>
      <c r="K44" t="s">
        <v>683</v>
      </c>
      <c r="L44" t="s">
        <v>68</v>
      </c>
      <c r="M44" t="s">
        <v>68</v>
      </c>
      <c r="N44" t="s">
        <v>68</v>
      </c>
      <c r="O44" t="s">
        <v>543</v>
      </c>
      <c r="P44" s="4">
        <v>0.56655008223152659</v>
      </c>
      <c r="Q44" s="4">
        <v>8.4436104806504435</v>
      </c>
    </row>
    <row r="45" spans="1:17" x14ac:dyDescent="0.25">
      <c r="A45" t="s">
        <v>684</v>
      </c>
      <c r="B45" t="s">
        <v>153</v>
      </c>
      <c r="C45" s="3">
        <v>138354</v>
      </c>
      <c r="D45" s="3">
        <v>2</v>
      </c>
      <c r="E45" t="s">
        <v>154</v>
      </c>
      <c r="F45" t="s">
        <v>685</v>
      </c>
      <c r="G45" t="s">
        <v>153</v>
      </c>
      <c r="H45" t="s">
        <v>539</v>
      </c>
      <c r="I45" t="s">
        <v>540</v>
      </c>
      <c r="J45" t="s">
        <v>541</v>
      </c>
      <c r="K45" t="s">
        <v>686</v>
      </c>
      <c r="L45" t="s">
        <v>68</v>
      </c>
      <c r="M45" t="s">
        <v>72</v>
      </c>
      <c r="N45" t="s">
        <v>68</v>
      </c>
      <c r="O45" t="s">
        <v>543</v>
      </c>
      <c r="P45" s="4">
        <v>0.5044810638912981</v>
      </c>
      <c r="Q45" s="4">
        <v>7.7522442430287519</v>
      </c>
    </row>
    <row r="46" spans="1:17" x14ac:dyDescent="0.25">
      <c r="A46" t="s">
        <v>687</v>
      </c>
      <c r="B46" t="s">
        <v>155</v>
      </c>
      <c r="C46" s="3">
        <v>134712</v>
      </c>
      <c r="D46" s="3">
        <v>2</v>
      </c>
      <c r="E46" t="s">
        <v>156</v>
      </c>
      <c r="F46" t="s">
        <v>688</v>
      </c>
      <c r="G46" t="s">
        <v>155</v>
      </c>
      <c r="H46" t="s">
        <v>539</v>
      </c>
      <c r="I46" t="s">
        <v>540</v>
      </c>
      <c r="J46" t="s">
        <v>541</v>
      </c>
      <c r="K46" t="s">
        <v>689</v>
      </c>
      <c r="L46" t="s">
        <v>68</v>
      </c>
      <c r="M46" t="s">
        <v>690</v>
      </c>
      <c r="N46" t="s">
        <v>68</v>
      </c>
      <c r="O46" t="s">
        <v>543</v>
      </c>
      <c r="P46" s="4">
        <v>0.15810179858518231</v>
      </c>
      <c r="Q46" s="4">
        <v>7.2804872617138781</v>
      </c>
    </row>
    <row r="47" spans="1:17" x14ac:dyDescent="0.25">
      <c r="A47" t="s">
        <v>691</v>
      </c>
      <c r="B47" t="s">
        <v>292</v>
      </c>
      <c r="C47" s="3">
        <v>133301</v>
      </c>
      <c r="D47" s="3">
        <v>8</v>
      </c>
      <c r="E47" t="s">
        <v>692</v>
      </c>
      <c r="F47" t="s">
        <v>693</v>
      </c>
      <c r="G47" t="s">
        <v>292</v>
      </c>
      <c r="H47" t="s">
        <v>539</v>
      </c>
      <c r="I47" t="s">
        <v>540</v>
      </c>
      <c r="J47" t="s">
        <v>541</v>
      </c>
      <c r="K47" t="s">
        <v>694</v>
      </c>
      <c r="L47" t="s">
        <v>68</v>
      </c>
      <c r="M47" t="s">
        <v>71</v>
      </c>
      <c r="N47" t="s">
        <v>68</v>
      </c>
      <c r="O47" t="s">
        <v>543</v>
      </c>
      <c r="P47" s="4">
        <v>0.21849237485841169</v>
      </c>
      <c r="Q47" s="4">
        <v>7.7746978642320759</v>
      </c>
    </row>
    <row r="48" spans="1:17" x14ac:dyDescent="0.25">
      <c r="A48" t="s">
        <v>695</v>
      </c>
      <c r="B48" t="s">
        <v>696</v>
      </c>
      <c r="C48" s="3">
        <v>129576</v>
      </c>
      <c r="D48" s="3">
        <v>3</v>
      </c>
      <c r="E48" t="s">
        <v>697</v>
      </c>
      <c r="F48" t="s">
        <v>698</v>
      </c>
      <c r="G48" t="s">
        <v>696</v>
      </c>
      <c r="H48" t="s">
        <v>539</v>
      </c>
      <c r="I48" t="s">
        <v>540</v>
      </c>
      <c r="J48" t="s">
        <v>541</v>
      </c>
      <c r="K48" t="s">
        <v>699</v>
      </c>
      <c r="L48" t="s">
        <v>68</v>
      </c>
      <c r="M48" t="s">
        <v>71</v>
      </c>
      <c r="N48" t="s">
        <v>68</v>
      </c>
      <c r="O48" t="s">
        <v>543</v>
      </c>
      <c r="P48" s="4">
        <v>0.192696516491488</v>
      </c>
      <c r="Q48" s="4">
        <v>7.1937936037537824</v>
      </c>
    </row>
    <row r="49" spans="1:17" x14ac:dyDescent="0.25">
      <c r="A49" t="s">
        <v>700</v>
      </c>
      <c r="B49" t="s">
        <v>701</v>
      </c>
      <c r="C49" s="3">
        <v>129235</v>
      </c>
      <c r="D49" s="3">
        <v>1</v>
      </c>
      <c r="E49" t="s">
        <v>702</v>
      </c>
      <c r="F49" t="s">
        <v>703</v>
      </c>
      <c r="G49" t="s">
        <v>701</v>
      </c>
      <c r="H49" t="s">
        <v>539</v>
      </c>
      <c r="I49" t="s">
        <v>540</v>
      </c>
      <c r="J49" t="s">
        <v>541</v>
      </c>
      <c r="K49" t="s">
        <v>704</v>
      </c>
      <c r="L49" t="s">
        <v>68</v>
      </c>
      <c r="M49" t="s">
        <v>72</v>
      </c>
      <c r="N49" t="s">
        <v>68</v>
      </c>
      <c r="O49" t="s">
        <v>543</v>
      </c>
      <c r="P49" s="4">
        <v>0.92771419949395295</v>
      </c>
      <c r="Q49" s="4">
        <v>10.066421635006</v>
      </c>
    </row>
    <row r="50" spans="1:17" x14ac:dyDescent="0.25">
      <c r="A50" t="s">
        <v>705</v>
      </c>
      <c r="B50" t="s">
        <v>402</v>
      </c>
      <c r="C50" s="3">
        <v>128006</v>
      </c>
      <c r="D50" s="3">
        <v>2</v>
      </c>
      <c r="E50" t="s">
        <v>403</v>
      </c>
      <c r="F50" t="s">
        <v>706</v>
      </c>
      <c r="G50" t="s">
        <v>402</v>
      </c>
      <c r="H50" t="s">
        <v>539</v>
      </c>
      <c r="I50" t="s">
        <v>540</v>
      </c>
      <c r="J50" t="s">
        <v>541</v>
      </c>
      <c r="K50" t="s">
        <v>707</v>
      </c>
      <c r="L50" t="s">
        <v>68</v>
      </c>
      <c r="M50" t="s">
        <v>71</v>
      </c>
      <c r="N50" t="s">
        <v>68</v>
      </c>
      <c r="O50" t="s">
        <v>543</v>
      </c>
      <c r="P50" s="4">
        <v>0.70526060871195551</v>
      </c>
      <c r="Q50" s="4">
        <v>9.5556770776369859</v>
      </c>
    </row>
    <row r="51" spans="1:17" x14ac:dyDescent="0.25">
      <c r="A51" t="s">
        <v>708</v>
      </c>
      <c r="B51" t="s">
        <v>170</v>
      </c>
      <c r="C51" s="3">
        <v>127793</v>
      </c>
      <c r="D51" s="3">
        <v>2</v>
      </c>
      <c r="E51" t="s">
        <v>171</v>
      </c>
      <c r="F51" t="s">
        <v>709</v>
      </c>
      <c r="G51" t="s">
        <v>170</v>
      </c>
      <c r="H51" t="s">
        <v>539</v>
      </c>
      <c r="I51" t="s">
        <v>540</v>
      </c>
      <c r="J51" t="s">
        <v>541</v>
      </c>
      <c r="K51" t="s">
        <v>710</v>
      </c>
      <c r="L51" t="s">
        <v>68</v>
      </c>
      <c r="M51" t="s">
        <v>68</v>
      </c>
      <c r="N51" t="s">
        <v>68</v>
      </c>
      <c r="O51" t="s">
        <v>543</v>
      </c>
      <c r="P51" s="4">
        <v>0.57488380099845071</v>
      </c>
      <c r="Q51" s="4">
        <v>9.2161777249145107</v>
      </c>
    </row>
    <row r="52" spans="1:17" x14ac:dyDescent="0.25">
      <c r="A52" t="s">
        <v>711</v>
      </c>
      <c r="B52" t="s">
        <v>472</v>
      </c>
      <c r="C52" s="3">
        <v>126476</v>
      </c>
      <c r="D52" s="3">
        <v>5</v>
      </c>
      <c r="E52" t="s">
        <v>712</v>
      </c>
      <c r="F52" t="s">
        <v>713</v>
      </c>
      <c r="G52" t="s">
        <v>472</v>
      </c>
      <c r="H52" t="s">
        <v>539</v>
      </c>
      <c r="I52" t="s">
        <v>540</v>
      </c>
      <c r="J52" t="s">
        <v>541</v>
      </c>
      <c r="K52" t="s">
        <v>714</v>
      </c>
      <c r="L52" t="s">
        <v>68</v>
      </c>
      <c r="M52" t="s">
        <v>715</v>
      </c>
      <c r="N52" t="s">
        <v>68</v>
      </c>
      <c r="O52" t="s">
        <v>543</v>
      </c>
      <c r="P52" s="4">
        <v>0.43589317901527369</v>
      </c>
      <c r="Q52" s="4">
        <v>8.6609870647395546</v>
      </c>
    </row>
    <row r="53" spans="1:17" x14ac:dyDescent="0.25">
      <c r="A53" t="s">
        <v>716</v>
      </c>
      <c r="B53" t="s">
        <v>717</v>
      </c>
      <c r="C53" s="3">
        <v>122225</v>
      </c>
      <c r="D53" s="3">
        <v>2</v>
      </c>
      <c r="E53" t="s">
        <v>718</v>
      </c>
      <c r="F53" t="s">
        <v>719</v>
      </c>
      <c r="G53" t="s">
        <v>717</v>
      </c>
      <c r="H53" t="s">
        <v>539</v>
      </c>
      <c r="I53" t="s">
        <v>540</v>
      </c>
      <c r="J53" t="s">
        <v>541</v>
      </c>
      <c r="K53" t="s">
        <v>720</v>
      </c>
      <c r="L53" t="s">
        <v>68</v>
      </c>
      <c r="M53" t="s">
        <v>589</v>
      </c>
      <c r="N53" t="s">
        <v>68</v>
      </c>
      <c r="O53" t="s">
        <v>543</v>
      </c>
      <c r="P53" s="4">
        <v>0.13443019954674501</v>
      </c>
      <c r="Q53" s="4">
        <v>6.7647371650644308</v>
      </c>
    </row>
    <row r="54" spans="1:17" x14ac:dyDescent="0.25">
      <c r="A54" t="s">
        <v>721</v>
      </c>
      <c r="B54" t="s">
        <v>722</v>
      </c>
      <c r="C54" s="3">
        <v>121478</v>
      </c>
      <c r="D54" s="3">
        <v>1</v>
      </c>
      <c r="E54" t="s">
        <v>723</v>
      </c>
      <c r="F54" t="s">
        <v>724</v>
      </c>
      <c r="G54" t="s">
        <v>722</v>
      </c>
      <c r="H54" t="s">
        <v>539</v>
      </c>
      <c r="I54" t="s">
        <v>540</v>
      </c>
      <c r="J54" t="s">
        <v>541</v>
      </c>
      <c r="K54" t="s">
        <v>725</v>
      </c>
      <c r="L54" t="s">
        <v>68</v>
      </c>
      <c r="M54" t="s">
        <v>71</v>
      </c>
      <c r="N54" t="s">
        <v>68</v>
      </c>
      <c r="O54" t="s">
        <v>543</v>
      </c>
      <c r="P54" s="4">
        <v>0.94335242986961676</v>
      </c>
      <c r="Q54" s="4">
        <v>8.2896820823523605</v>
      </c>
    </row>
    <row r="55" spans="1:17" x14ac:dyDescent="0.25">
      <c r="A55" t="s">
        <v>726</v>
      </c>
      <c r="B55" t="s">
        <v>120</v>
      </c>
      <c r="C55" s="3">
        <v>118995</v>
      </c>
      <c r="D55" s="3">
        <v>2</v>
      </c>
      <c r="E55" t="s">
        <v>121</v>
      </c>
      <c r="F55" t="s">
        <v>727</v>
      </c>
      <c r="G55" t="s">
        <v>120</v>
      </c>
      <c r="H55" t="s">
        <v>539</v>
      </c>
      <c r="I55" t="s">
        <v>540</v>
      </c>
      <c r="J55" t="s">
        <v>541</v>
      </c>
      <c r="K55" t="s">
        <v>728</v>
      </c>
      <c r="L55" t="s">
        <v>68</v>
      </c>
      <c r="M55" t="s">
        <v>596</v>
      </c>
      <c r="N55" t="s">
        <v>68</v>
      </c>
      <c r="O55" t="s">
        <v>543</v>
      </c>
      <c r="P55" s="4">
        <v>0.56368693489294475</v>
      </c>
      <c r="Q55" s="4">
        <v>8.4225387621328629</v>
      </c>
    </row>
    <row r="56" spans="1:17" x14ac:dyDescent="0.25">
      <c r="A56" t="s">
        <v>729</v>
      </c>
      <c r="B56" t="s">
        <v>175</v>
      </c>
      <c r="C56" s="3">
        <v>111327</v>
      </c>
      <c r="D56" s="3">
        <v>2</v>
      </c>
      <c r="E56" t="s">
        <v>215</v>
      </c>
      <c r="F56" t="s">
        <v>730</v>
      </c>
      <c r="G56" t="s">
        <v>175</v>
      </c>
      <c r="H56" t="s">
        <v>539</v>
      </c>
      <c r="I56" t="s">
        <v>540</v>
      </c>
      <c r="J56" t="s">
        <v>541</v>
      </c>
      <c r="K56" t="s">
        <v>731</v>
      </c>
      <c r="L56" t="s">
        <v>68</v>
      </c>
      <c r="M56" t="s">
        <v>732</v>
      </c>
      <c r="N56" t="s">
        <v>68</v>
      </c>
      <c r="O56" t="s">
        <v>543</v>
      </c>
      <c r="P56" s="4">
        <v>6.8767908309455589E-2</v>
      </c>
      <c r="Q56" s="4">
        <v>6.6505519775077024</v>
      </c>
    </row>
    <row r="57" spans="1:17" x14ac:dyDescent="0.25">
      <c r="A57" t="s">
        <v>733</v>
      </c>
      <c r="B57" t="s">
        <v>99</v>
      </c>
      <c r="C57" s="3">
        <v>110017</v>
      </c>
      <c r="D57" s="3">
        <v>11</v>
      </c>
      <c r="E57" t="s">
        <v>734</v>
      </c>
      <c r="F57" t="s">
        <v>735</v>
      </c>
      <c r="G57" t="s">
        <v>99</v>
      </c>
      <c r="H57" t="s">
        <v>539</v>
      </c>
      <c r="I57" t="s">
        <v>540</v>
      </c>
      <c r="J57" t="s">
        <v>541</v>
      </c>
      <c r="K57" t="s">
        <v>736</v>
      </c>
      <c r="L57" t="s">
        <v>68</v>
      </c>
      <c r="M57" t="s">
        <v>72</v>
      </c>
      <c r="N57" t="s">
        <v>68</v>
      </c>
      <c r="O57" t="s">
        <v>543</v>
      </c>
      <c r="P57" s="4">
        <v>0.15050489443116441</v>
      </c>
      <c r="Q57" s="4">
        <v>7.6729414545024861</v>
      </c>
    </row>
    <row r="58" spans="1:17" x14ac:dyDescent="0.25">
      <c r="A58" t="s">
        <v>737</v>
      </c>
      <c r="B58" t="s">
        <v>509</v>
      </c>
      <c r="C58" s="3">
        <v>109037</v>
      </c>
      <c r="D58" s="3">
        <v>3</v>
      </c>
      <c r="E58" t="s">
        <v>738</v>
      </c>
      <c r="F58" t="s">
        <v>739</v>
      </c>
      <c r="G58" t="s">
        <v>509</v>
      </c>
      <c r="H58" t="s">
        <v>539</v>
      </c>
      <c r="I58" t="s">
        <v>540</v>
      </c>
      <c r="J58" t="s">
        <v>541</v>
      </c>
      <c r="K58" t="s">
        <v>740</v>
      </c>
      <c r="L58" t="s">
        <v>68</v>
      </c>
      <c r="M58" t="s">
        <v>741</v>
      </c>
      <c r="N58" t="s">
        <v>68</v>
      </c>
      <c r="O58" t="s">
        <v>543</v>
      </c>
      <c r="P58" s="4">
        <v>0</v>
      </c>
      <c r="Q58" s="4">
        <v>7.2211634582756314</v>
      </c>
    </row>
    <row r="59" spans="1:17" x14ac:dyDescent="0.25">
      <c r="A59" t="s">
        <v>742</v>
      </c>
      <c r="B59" t="s">
        <v>743</v>
      </c>
      <c r="C59" s="3">
        <v>106042</v>
      </c>
      <c r="D59" s="3">
        <v>3</v>
      </c>
      <c r="E59" t="s">
        <v>744</v>
      </c>
      <c r="F59" t="s">
        <v>745</v>
      </c>
      <c r="G59" t="s">
        <v>743</v>
      </c>
      <c r="H59" t="s">
        <v>539</v>
      </c>
      <c r="I59" t="s">
        <v>540</v>
      </c>
      <c r="J59" t="s">
        <v>541</v>
      </c>
      <c r="K59" t="s">
        <v>746</v>
      </c>
      <c r="L59" t="s">
        <v>68</v>
      </c>
      <c r="M59" t="s">
        <v>71</v>
      </c>
      <c r="N59" t="s">
        <v>68</v>
      </c>
      <c r="O59" t="s">
        <v>543</v>
      </c>
      <c r="P59" s="4">
        <v>0.80990815999396537</v>
      </c>
      <c r="Q59" s="4">
        <v>7.809726334848456</v>
      </c>
    </row>
    <row r="60" spans="1:17" x14ac:dyDescent="0.25">
      <c r="A60" t="s">
        <v>747</v>
      </c>
      <c r="B60" t="s">
        <v>513</v>
      </c>
      <c r="C60" s="3">
        <v>106003</v>
      </c>
      <c r="D60" s="3">
        <v>2</v>
      </c>
      <c r="E60" t="s">
        <v>514</v>
      </c>
      <c r="F60" t="s">
        <v>748</v>
      </c>
      <c r="G60" t="s">
        <v>513</v>
      </c>
      <c r="H60" t="s">
        <v>539</v>
      </c>
      <c r="I60" t="s">
        <v>540</v>
      </c>
      <c r="J60" t="s">
        <v>541</v>
      </c>
      <c r="K60" t="s">
        <v>749</v>
      </c>
      <c r="L60" t="s">
        <v>68</v>
      </c>
      <c r="M60" t="s">
        <v>72</v>
      </c>
      <c r="N60" t="s">
        <v>68</v>
      </c>
      <c r="O60" t="s">
        <v>543</v>
      </c>
      <c r="P60" s="4">
        <v>0.13654114628532621</v>
      </c>
      <c r="Q60" s="4">
        <v>6.5873324339877177</v>
      </c>
    </row>
    <row r="61" spans="1:17" x14ac:dyDescent="0.25">
      <c r="A61" t="s">
        <v>750</v>
      </c>
      <c r="B61" t="s">
        <v>351</v>
      </c>
      <c r="C61" s="3">
        <v>105247</v>
      </c>
      <c r="D61" s="3">
        <v>2</v>
      </c>
      <c r="E61" t="s">
        <v>751</v>
      </c>
      <c r="F61" t="s">
        <v>752</v>
      </c>
      <c r="G61" t="s">
        <v>351</v>
      </c>
      <c r="H61" t="s">
        <v>539</v>
      </c>
      <c r="I61" t="s">
        <v>540</v>
      </c>
      <c r="J61" t="s">
        <v>541</v>
      </c>
      <c r="K61" t="s">
        <v>753</v>
      </c>
      <c r="L61" t="s">
        <v>68</v>
      </c>
      <c r="M61" t="s">
        <v>72</v>
      </c>
      <c r="N61" t="s">
        <v>68</v>
      </c>
      <c r="O61" t="s">
        <v>543</v>
      </c>
      <c r="P61" s="4">
        <v>0.22881138546604979</v>
      </c>
      <c r="Q61" s="4">
        <v>7.2541450112592294</v>
      </c>
    </row>
    <row r="62" spans="1:17" x14ac:dyDescent="0.25">
      <c r="A62" t="s">
        <v>754</v>
      </c>
      <c r="B62" t="s">
        <v>220</v>
      </c>
      <c r="C62" s="3">
        <v>102812</v>
      </c>
      <c r="D62" s="3">
        <v>3</v>
      </c>
      <c r="E62" t="s">
        <v>222</v>
      </c>
      <c r="F62" t="s">
        <v>755</v>
      </c>
      <c r="G62" t="s">
        <v>220</v>
      </c>
      <c r="H62" t="s">
        <v>539</v>
      </c>
      <c r="I62" t="s">
        <v>540</v>
      </c>
      <c r="J62" t="s">
        <v>541</v>
      </c>
      <c r="K62" t="s">
        <v>756</v>
      </c>
      <c r="L62" t="s">
        <v>68</v>
      </c>
      <c r="M62" t="s">
        <v>596</v>
      </c>
      <c r="N62" t="s">
        <v>68</v>
      </c>
      <c r="O62" t="s">
        <v>543</v>
      </c>
      <c r="P62" s="4">
        <v>0</v>
      </c>
      <c r="Q62" s="4">
        <v>6.9826868458934754</v>
      </c>
    </row>
    <row r="63" spans="1:17" x14ac:dyDescent="0.25">
      <c r="A63" t="s">
        <v>757</v>
      </c>
      <c r="B63" t="s">
        <v>200</v>
      </c>
      <c r="C63" s="3">
        <v>100273</v>
      </c>
      <c r="D63" s="3">
        <v>9</v>
      </c>
      <c r="E63" t="s">
        <v>309</v>
      </c>
      <c r="F63" t="s">
        <v>758</v>
      </c>
      <c r="G63" t="s">
        <v>200</v>
      </c>
      <c r="H63" t="s">
        <v>539</v>
      </c>
      <c r="I63" t="s">
        <v>540</v>
      </c>
      <c r="J63" t="s">
        <v>541</v>
      </c>
      <c r="K63" t="s">
        <v>759</v>
      </c>
      <c r="L63" t="s">
        <v>68</v>
      </c>
      <c r="M63" t="s">
        <v>71</v>
      </c>
      <c r="N63" t="s">
        <v>68</v>
      </c>
      <c r="O63" t="s">
        <v>543</v>
      </c>
      <c r="P63" s="4">
        <v>0.15258428983137051</v>
      </c>
      <c r="Q63" s="4">
        <v>7.2588433576336602</v>
      </c>
    </row>
    <row r="64" spans="1:17" x14ac:dyDescent="0.25">
      <c r="A64" t="s">
        <v>760</v>
      </c>
      <c r="B64" t="s">
        <v>416</v>
      </c>
      <c r="C64" s="3">
        <v>99180</v>
      </c>
      <c r="D64" s="3">
        <v>2</v>
      </c>
      <c r="E64" t="s">
        <v>417</v>
      </c>
      <c r="F64" t="s">
        <v>761</v>
      </c>
      <c r="G64" t="s">
        <v>416</v>
      </c>
      <c r="H64" t="s">
        <v>539</v>
      </c>
      <c r="I64" t="s">
        <v>540</v>
      </c>
      <c r="J64" t="s">
        <v>541</v>
      </c>
      <c r="K64" t="s">
        <v>762</v>
      </c>
      <c r="L64" t="s">
        <v>68</v>
      </c>
      <c r="M64" t="s">
        <v>71</v>
      </c>
      <c r="N64" t="s">
        <v>68</v>
      </c>
      <c r="O64" t="s">
        <v>543</v>
      </c>
      <c r="P64" s="4">
        <v>9.1244555573479595E-3</v>
      </c>
      <c r="Q64" s="4">
        <v>7.4553135712845329</v>
      </c>
    </row>
    <row r="65" spans="1:17" x14ac:dyDescent="0.25">
      <c r="A65" t="s">
        <v>763</v>
      </c>
      <c r="B65" t="s">
        <v>338</v>
      </c>
      <c r="C65" s="3">
        <v>98666</v>
      </c>
      <c r="D65" s="3">
        <v>4</v>
      </c>
      <c r="E65" t="s">
        <v>764</v>
      </c>
      <c r="F65" t="s">
        <v>765</v>
      </c>
      <c r="G65" t="s">
        <v>338</v>
      </c>
      <c r="H65" t="s">
        <v>539</v>
      </c>
      <c r="I65" t="s">
        <v>540</v>
      </c>
      <c r="J65" t="s">
        <v>541</v>
      </c>
      <c r="K65" t="s">
        <v>766</v>
      </c>
      <c r="L65" t="s">
        <v>68</v>
      </c>
      <c r="M65" t="s">
        <v>72</v>
      </c>
      <c r="N65" t="s">
        <v>68</v>
      </c>
      <c r="O65" t="s">
        <v>543</v>
      </c>
      <c r="P65" s="4">
        <v>4.1553492520371342E-3</v>
      </c>
      <c r="Q65" s="4">
        <v>6.6372002513530486</v>
      </c>
    </row>
    <row r="66" spans="1:17" x14ac:dyDescent="0.25">
      <c r="A66" t="s">
        <v>767</v>
      </c>
      <c r="B66" t="s">
        <v>114</v>
      </c>
      <c r="C66" s="3">
        <v>97676</v>
      </c>
      <c r="D66" s="3">
        <v>1</v>
      </c>
      <c r="E66" t="s">
        <v>115</v>
      </c>
      <c r="F66" t="s">
        <v>768</v>
      </c>
      <c r="G66" t="s">
        <v>114</v>
      </c>
      <c r="H66" t="s">
        <v>539</v>
      </c>
      <c r="I66" t="s">
        <v>540</v>
      </c>
      <c r="J66" t="s">
        <v>541</v>
      </c>
      <c r="K66" t="s">
        <v>769</v>
      </c>
      <c r="L66" t="s">
        <v>68</v>
      </c>
      <c r="M66" t="s">
        <v>72</v>
      </c>
      <c r="N66" t="s">
        <v>68</v>
      </c>
      <c r="O66" t="s">
        <v>543</v>
      </c>
      <c r="P66" s="4">
        <v>0.55816143727286682</v>
      </c>
      <c r="Q66" s="4">
        <v>8.9050943937098168</v>
      </c>
    </row>
    <row r="67" spans="1:17" x14ac:dyDescent="0.25">
      <c r="A67" t="s">
        <v>770</v>
      </c>
      <c r="B67" t="s">
        <v>96</v>
      </c>
      <c r="C67" s="3">
        <v>97382</v>
      </c>
      <c r="D67" s="3">
        <v>4</v>
      </c>
      <c r="E67" t="s">
        <v>98</v>
      </c>
      <c r="F67" t="s">
        <v>771</v>
      </c>
      <c r="G67" t="s">
        <v>96</v>
      </c>
      <c r="H67" t="s">
        <v>539</v>
      </c>
      <c r="I67" t="s">
        <v>540</v>
      </c>
      <c r="J67" t="s">
        <v>541</v>
      </c>
      <c r="K67" t="s">
        <v>772</v>
      </c>
      <c r="L67" t="s">
        <v>68</v>
      </c>
      <c r="M67" t="s">
        <v>71</v>
      </c>
      <c r="N67" t="s">
        <v>68</v>
      </c>
      <c r="O67" t="s">
        <v>543</v>
      </c>
      <c r="P67" s="4">
        <v>8.2351008337782888E-2</v>
      </c>
      <c r="Q67" s="4">
        <v>7.1347785011603788</v>
      </c>
    </row>
    <row r="68" spans="1:17" x14ac:dyDescent="0.25">
      <c r="A68" t="s">
        <v>773</v>
      </c>
      <c r="B68" t="s">
        <v>379</v>
      </c>
      <c r="C68" s="3">
        <v>93829</v>
      </c>
      <c r="D68" s="3">
        <v>7</v>
      </c>
      <c r="E68" t="s">
        <v>774</v>
      </c>
      <c r="F68" t="s">
        <v>775</v>
      </c>
      <c r="G68" t="s">
        <v>379</v>
      </c>
      <c r="H68" t="s">
        <v>539</v>
      </c>
      <c r="I68" t="s">
        <v>540</v>
      </c>
      <c r="J68" t="s">
        <v>541</v>
      </c>
      <c r="K68" t="s">
        <v>776</v>
      </c>
      <c r="L68" t="s">
        <v>68</v>
      </c>
      <c r="M68" t="s">
        <v>74</v>
      </c>
      <c r="N68" t="s">
        <v>68</v>
      </c>
      <c r="O68" t="s">
        <v>543</v>
      </c>
      <c r="P68" s="4">
        <v>1.679615478892903E-2</v>
      </c>
      <c r="Q68" s="4">
        <v>7.7886687484679573</v>
      </c>
    </row>
    <row r="69" spans="1:17" x14ac:dyDescent="0.25">
      <c r="A69" t="s">
        <v>777</v>
      </c>
      <c r="B69" t="s">
        <v>506</v>
      </c>
      <c r="C69" s="3">
        <v>91080</v>
      </c>
      <c r="D69" s="3">
        <v>1</v>
      </c>
      <c r="E69" t="s">
        <v>507</v>
      </c>
      <c r="F69" t="s">
        <v>778</v>
      </c>
      <c r="G69" t="s">
        <v>506</v>
      </c>
      <c r="H69" t="s">
        <v>539</v>
      </c>
      <c r="I69" t="s">
        <v>540</v>
      </c>
      <c r="J69" t="s">
        <v>541</v>
      </c>
      <c r="K69" t="s">
        <v>779</v>
      </c>
      <c r="L69" t="s">
        <v>68</v>
      </c>
      <c r="M69" t="s">
        <v>71</v>
      </c>
      <c r="N69" t="s">
        <v>68</v>
      </c>
      <c r="O69" t="s">
        <v>543</v>
      </c>
      <c r="P69" s="4">
        <v>0.84727360551536379</v>
      </c>
      <c r="Q69" s="4">
        <v>8.3069828722002637</v>
      </c>
    </row>
    <row r="70" spans="1:17" x14ac:dyDescent="0.25">
      <c r="A70" t="s">
        <v>780</v>
      </c>
      <c r="B70" t="s">
        <v>443</v>
      </c>
      <c r="C70" s="3">
        <v>90484</v>
      </c>
      <c r="D70" s="3">
        <v>3</v>
      </c>
      <c r="E70" t="s">
        <v>475</v>
      </c>
      <c r="F70" t="s">
        <v>781</v>
      </c>
      <c r="G70" t="s">
        <v>443</v>
      </c>
      <c r="H70" t="s">
        <v>539</v>
      </c>
      <c r="I70" t="s">
        <v>540</v>
      </c>
      <c r="J70" t="s">
        <v>541</v>
      </c>
      <c r="K70" t="s">
        <v>782</v>
      </c>
      <c r="L70" t="s">
        <v>68</v>
      </c>
      <c r="M70" t="s">
        <v>73</v>
      </c>
      <c r="N70" t="s">
        <v>68</v>
      </c>
      <c r="O70" t="s">
        <v>543</v>
      </c>
      <c r="P70" s="4">
        <v>0.19612328570323459</v>
      </c>
      <c r="Q70" s="4">
        <v>6.4379006233146194</v>
      </c>
    </row>
    <row r="71" spans="1:17" x14ac:dyDescent="0.25">
      <c r="A71" t="s">
        <v>783</v>
      </c>
      <c r="B71" t="s">
        <v>373</v>
      </c>
      <c r="C71" s="3">
        <v>90035</v>
      </c>
      <c r="D71" s="3">
        <v>1</v>
      </c>
      <c r="E71" t="s">
        <v>374</v>
      </c>
      <c r="F71" t="s">
        <v>784</v>
      </c>
      <c r="G71" t="s">
        <v>373</v>
      </c>
      <c r="H71" t="s">
        <v>539</v>
      </c>
      <c r="I71" t="s">
        <v>540</v>
      </c>
      <c r="J71" t="s">
        <v>541</v>
      </c>
      <c r="K71" t="s">
        <v>785</v>
      </c>
      <c r="L71" t="s">
        <v>68</v>
      </c>
      <c r="M71" t="s">
        <v>71</v>
      </c>
      <c r="N71" t="s">
        <v>68</v>
      </c>
      <c r="O71" t="s">
        <v>543</v>
      </c>
      <c r="P71" s="4">
        <v>0</v>
      </c>
      <c r="Q71" s="4">
        <v>6.3684011773199307</v>
      </c>
    </row>
    <row r="72" spans="1:17" x14ac:dyDescent="0.25">
      <c r="A72" t="s">
        <v>786</v>
      </c>
      <c r="B72" t="s">
        <v>274</v>
      </c>
      <c r="C72" s="3">
        <v>88300</v>
      </c>
      <c r="D72" s="3">
        <v>1</v>
      </c>
      <c r="E72" t="s">
        <v>275</v>
      </c>
      <c r="F72" t="s">
        <v>787</v>
      </c>
      <c r="G72" t="s">
        <v>274</v>
      </c>
      <c r="H72" t="s">
        <v>539</v>
      </c>
      <c r="I72" t="s">
        <v>540</v>
      </c>
      <c r="J72" t="s">
        <v>541</v>
      </c>
      <c r="K72" t="s">
        <v>788</v>
      </c>
      <c r="L72" t="s">
        <v>68</v>
      </c>
      <c r="M72" t="s">
        <v>71</v>
      </c>
      <c r="N72" t="s">
        <v>68</v>
      </c>
      <c r="O72" t="s">
        <v>543</v>
      </c>
      <c r="P72" s="4">
        <v>4.0201118836772137E-3</v>
      </c>
      <c r="Q72" s="4">
        <v>6.2207248018120049</v>
      </c>
    </row>
    <row r="73" spans="1:17" x14ac:dyDescent="0.25">
      <c r="A73" t="s">
        <v>789</v>
      </c>
      <c r="B73" t="s">
        <v>790</v>
      </c>
      <c r="C73" s="3">
        <v>87450</v>
      </c>
      <c r="D73" s="3">
        <v>1</v>
      </c>
      <c r="E73" t="s">
        <v>791</v>
      </c>
      <c r="F73" t="s">
        <v>792</v>
      </c>
      <c r="G73" t="s">
        <v>790</v>
      </c>
      <c r="H73" t="s">
        <v>539</v>
      </c>
      <c r="I73" t="s">
        <v>540</v>
      </c>
      <c r="J73" t="s">
        <v>541</v>
      </c>
      <c r="K73" t="s">
        <v>793</v>
      </c>
      <c r="L73" t="s">
        <v>68</v>
      </c>
      <c r="M73" t="s">
        <v>76</v>
      </c>
      <c r="N73" t="s">
        <v>68</v>
      </c>
      <c r="O73" t="s">
        <v>543</v>
      </c>
      <c r="P73" s="4">
        <v>0.95554132552714632</v>
      </c>
      <c r="Q73" s="4">
        <v>10.404802744425391</v>
      </c>
    </row>
    <row r="74" spans="1:17" x14ac:dyDescent="0.25">
      <c r="A74" t="s">
        <v>794</v>
      </c>
      <c r="B74" t="s">
        <v>306</v>
      </c>
      <c r="C74" s="3">
        <v>85666</v>
      </c>
      <c r="D74" s="3">
        <v>1</v>
      </c>
      <c r="E74" t="s">
        <v>307</v>
      </c>
      <c r="F74" t="s">
        <v>795</v>
      </c>
      <c r="G74" t="s">
        <v>306</v>
      </c>
      <c r="H74" t="s">
        <v>539</v>
      </c>
      <c r="I74" t="s">
        <v>540</v>
      </c>
      <c r="J74" t="s">
        <v>541</v>
      </c>
      <c r="K74" t="s">
        <v>796</v>
      </c>
      <c r="L74" t="s">
        <v>68</v>
      </c>
      <c r="M74" t="s">
        <v>589</v>
      </c>
      <c r="N74" t="s">
        <v>68</v>
      </c>
      <c r="O74" t="s">
        <v>543</v>
      </c>
      <c r="P74" s="4">
        <v>4.6690790241624838E-5</v>
      </c>
      <c r="Q74" s="4">
        <v>6.5913197768076017</v>
      </c>
    </row>
    <row r="75" spans="1:17" x14ac:dyDescent="0.25">
      <c r="A75" t="s">
        <v>797</v>
      </c>
      <c r="B75" t="s">
        <v>371</v>
      </c>
      <c r="C75" s="3">
        <v>85603</v>
      </c>
      <c r="D75" s="3">
        <v>1</v>
      </c>
      <c r="E75" t="s">
        <v>372</v>
      </c>
      <c r="F75" t="s">
        <v>798</v>
      </c>
      <c r="G75" t="s">
        <v>371</v>
      </c>
      <c r="H75" t="s">
        <v>539</v>
      </c>
      <c r="I75" t="s">
        <v>540</v>
      </c>
      <c r="J75" t="s">
        <v>541</v>
      </c>
      <c r="K75" t="s">
        <v>799</v>
      </c>
      <c r="L75" t="s">
        <v>68</v>
      </c>
      <c r="M75" t="s">
        <v>71</v>
      </c>
      <c r="N75" t="s">
        <v>68</v>
      </c>
      <c r="O75" t="s">
        <v>543</v>
      </c>
      <c r="P75" s="4">
        <v>0.11904817531891029</v>
      </c>
      <c r="Q75" s="4">
        <v>7.0205366634346928</v>
      </c>
    </row>
    <row r="76" spans="1:17" x14ac:dyDescent="0.25">
      <c r="A76" t="s">
        <v>800</v>
      </c>
      <c r="B76" t="s">
        <v>158</v>
      </c>
      <c r="C76" s="3">
        <v>85592</v>
      </c>
      <c r="D76" s="3">
        <v>3</v>
      </c>
      <c r="E76" t="s">
        <v>801</v>
      </c>
      <c r="F76" t="s">
        <v>802</v>
      </c>
      <c r="G76" t="s">
        <v>158</v>
      </c>
      <c r="H76" t="s">
        <v>539</v>
      </c>
      <c r="I76" t="s">
        <v>540</v>
      </c>
      <c r="J76" t="s">
        <v>541</v>
      </c>
      <c r="K76" t="s">
        <v>803</v>
      </c>
      <c r="L76" t="s">
        <v>68</v>
      </c>
      <c r="M76" t="s">
        <v>71</v>
      </c>
      <c r="N76" t="s">
        <v>68</v>
      </c>
      <c r="O76" t="s">
        <v>543</v>
      </c>
      <c r="P76" s="4">
        <v>0</v>
      </c>
      <c r="Q76" s="4">
        <v>5.9616319282175896</v>
      </c>
    </row>
    <row r="77" spans="1:17" x14ac:dyDescent="0.25">
      <c r="A77" t="s">
        <v>804</v>
      </c>
      <c r="B77" t="s">
        <v>108</v>
      </c>
      <c r="C77" s="3">
        <v>85146</v>
      </c>
      <c r="D77" s="3">
        <v>3</v>
      </c>
      <c r="E77" t="s">
        <v>295</v>
      </c>
      <c r="F77" t="s">
        <v>805</v>
      </c>
      <c r="G77" t="s">
        <v>108</v>
      </c>
      <c r="H77" t="s">
        <v>539</v>
      </c>
      <c r="I77" t="s">
        <v>540</v>
      </c>
      <c r="J77" t="s">
        <v>541</v>
      </c>
      <c r="K77" t="s">
        <v>806</v>
      </c>
      <c r="L77" t="s">
        <v>68</v>
      </c>
      <c r="M77" t="s">
        <v>68</v>
      </c>
      <c r="N77" t="s">
        <v>68</v>
      </c>
      <c r="O77" t="s">
        <v>543</v>
      </c>
      <c r="P77" s="4">
        <v>0.35030710150203748</v>
      </c>
      <c r="Q77" s="4">
        <v>8.0018791252671875</v>
      </c>
    </row>
    <row r="78" spans="1:17" x14ac:dyDescent="0.25">
      <c r="A78" t="s">
        <v>807</v>
      </c>
      <c r="B78" t="s">
        <v>808</v>
      </c>
      <c r="C78" s="3">
        <v>84035</v>
      </c>
      <c r="D78" s="3">
        <v>3</v>
      </c>
      <c r="E78" t="s">
        <v>809</v>
      </c>
      <c r="F78" t="s">
        <v>810</v>
      </c>
      <c r="G78" t="s">
        <v>808</v>
      </c>
      <c r="H78" t="s">
        <v>539</v>
      </c>
      <c r="I78" t="s">
        <v>540</v>
      </c>
      <c r="J78" t="s">
        <v>541</v>
      </c>
      <c r="K78" t="s">
        <v>811</v>
      </c>
      <c r="L78" t="s">
        <v>68</v>
      </c>
      <c r="M78" t="s">
        <v>74</v>
      </c>
      <c r="N78" t="s">
        <v>68</v>
      </c>
      <c r="O78" t="s">
        <v>543</v>
      </c>
      <c r="P78" s="4">
        <v>0.57225474796515774</v>
      </c>
      <c r="Q78" s="4">
        <v>7.2326530612244886</v>
      </c>
    </row>
    <row r="79" spans="1:17" x14ac:dyDescent="0.25">
      <c r="A79" t="s">
        <v>812</v>
      </c>
      <c r="B79" t="s">
        <v>149</v>
      </c>
      <c r="C79" s="3">
        <v>83188</v>
      </c>
      <c r="D79" s="3">
        <v>4</v>
      </c>
      <c r="E79" t="s">
        <v>813</v>
      </c>
      <c r="F79" t="s">
        <v>814</v>
      </c>
      <c r="G79" t="s">
        <v>149</v>
      </c>
      <c r="H79" t="s">
        <v>539</v>
      </c>
      <c r="I79" t="s">
        <v>540</v>
      </c>
      <c r="J79" t="s">
        <v>541</v>
      </c>
      <c r="K79" t="s">
        <v>815</v>
      </c>
      <c r="L79" t="s">
        <v>68</v>
      </c>
      <c r="M79" t="s">
        <v>596</v>
      </c>
      <c r="N79" t="s">
        <v>68</v>
      </c>
      <c r="O79" t="s">
        <v>543</v>
      </c>
      <c r="P79" s="4">
        <v>0</v>
      </c>
      <c r="Q79" s="4">
        <v>5.5389719671106414</v>
      </c>
    </row>
    <row r="80" spans="1:17" x14ac:dyDescent="0.25">
      <c r="A80" t="s">
        <v>816</v>
      </c>
      <c r="B80" t="s">
        <v>448</v>
      </c>
      <c r="C80" s="3">
        <v>80732</v>
      </c>
      <c r="D80" s="3">
        <v>1</v>
      </c>
      <c r="E80" t="s">
        <v>449</v>
      </c>
      <c r="F80" t="s">
        <v>817</v>
      </c>
      <c r="G80" t="s">
        <v>448</v>
      </c>
      <c r="H80" t="s">
        <v>539</v>
      </c>
      <c r="I80" t="s">
        <v>540</v>
      </c>
      <c r="J80" t="s">
        <v>541</v>
      </c>
      <c r="K80" t="s">
        <v>818</v>
      </c>
      <c r="L80" t="s">
        <v>68</v>
      </c>
      <c r="M80" t="s">
        <v>596</v>
      </c>
      <c r="N80" t="s">
        <v>68</v>
      </c>
      <c r="O80" t="s">
        <v>543</v>
      </c>
      <c r="P80" s="4">
        <v>0.75500092896513282</v>
      </c>
      <c r="Q80" s="4">
        <v>9.6155427835306941</v>
      </c>
    </row>
    <row r="81" spans="1:17" x14ac:dyDescent="0.25">
      <c r="A81" t="s">
        <v>819</v>
      </c>
      <c r="B81" t="s">
        <v>362</v>
      </c>
      <c r="C81" s="3">
        <v>80287</v>
      </c>
      <c r="D81" s="3">
        <v>6</v>
      </c>
      <c r="E81" t="s">
        <v>407</v>
      </c>
      <c r="F81" t="s">
        <v>820</v>
      </c>
      <c r="G81" t="s">
        <v>362</v>
      </c>
      <c r="H81" t="s">
        <v>539</v>
      </c>
      <c r="I81" t="s">
        <v>540</v>
      </c>
      <c r="J81" t="s">
        <v>541</v>
      </c>
      <c r="K81" t="s">
        <v>821</v>
      </c>
      <c r="L81" t="s">
        <v>68</v>
      </c>
      <c r="M81" t="s">
        <v>73</v>
      </c>
      <c r="N81" t="s">
        <v>68</v>
      </c>
      <c r="O81" t="s">
        <v>543</v>
      </c>
      <c r="P81" s="4">
        <v>0</v>
      </c>
      <c r="Q81" s="4">
        <v>5.85261623924172</v>
      </c>
    </row>
    <row r="82" spans="1:17" x14ac:dyDescent="0.25">
      <c r="A82" t="s">
        <v>822</v>
      </c>
      <c r="B82" t="s">
        <v>110</v>
      </c>
      <c r="C82" s="3">
        <v>80025</v>
      </c>
      <c r="D82" s="3">
        <v>4</v>
      </c>
      <c r="E82" t="s">
        <v>111</v>
      </c>
      <c r="F82" t="s">
        <v>823</v>
      </c>
      <c r="G82" t="s">
        <v>110</v>
      </c>
      <c r="H82" t="s">
        <v>539</v>
      </c>
      <c r="I82" t="s">
        <v>540</v>
      </c>
      <c r="J82" t="s">
        <v>541</v>
      </c>
      <c r="K82" t="s">
        <v>824</v>
      </c>
      <c r="L82" t="s">
        <v>68</v>
      </c>
      <c r="M82" t="s">
        <v>71</v>
      </c>
      <c r="N82" t="s">
        <v>68</v>
      </c>
      <c r="O82" t="s">
        <v>543</v>
      </c>
      <c r="P82" s="4">
        <v>0.26638760464825689</v>
      </c>
      <c r="Q82" s="4">
        <v>8.0377631990003131</v>
      </c>
    </row>
    <row r="83" spans="1:17" x14ac:dyDescent="0.25">
      <c r="A83" t="s">
        <v>825</v>
      </c>
      <c r="B83" t="s">
        <v>266</v>
      </c>
      <c r="C83" s="3">
        <v>79800</v>
      </c>
      <c r="D83" s="3">
        <v>2</v>
      </c>
      <c r="E83" t="s">
        <v>267</v>
      </c>
      <c r="F83" t="s">
        <v>826</v>
      </c>
      <c r="G83" t="s">
        <v>266</v>
      </c>
      <c r="H83" t="s">
        <v>539</v>
      </c>
      <c r="I83" t="s">
        <v>540</v>
      </c>
      <c r="J83" t="s">
        <v>541</v>
      </c>
      <c r="K83" t="s">
        <v>827</v>
      </c>
      <c r="L83" t="s">
        <v>68</v>
      </c>
      <c r="M83" t="s">
        <v>596</v>
      </c>
      <c r="N83" t="s">
        <v>68</v>
      </c>
      <c r="O83" t="s">
        <v>543</v>
      </c>
      <c r="P83" s="4">
        <v>0</v>
      </c>
      <c r="Q83" s="4">
        <v>6.9285087719298248</v>
      </c>
    </row>
    <row r="84" spans="1:17" x14ac:dyDescent="0.25">
      <c r="A84" t="s">
        <v>828</v>
      </c>
      <c r="B84" t="s">
        <v>280</v>
      </c>
      <c r="C84" s="3">
        <v>79245</v>
      </c>
      <c r="D84" s="3">
        <v>1</v>
      </c>
      <c r="E84" t="s">
        <v>281</v>
      </c>
      <c r="F84" t="s">
        <v>829</v>
      </c>
      <c r="G84" t="s">
        <v>280</v>
      </c>
      <c r="H84" t="s">
        <v>539</v>
      </c>
      <c r="I84" t="s">
        <v>540</v>
      </c>
      <c r="J84" t="s">
        <v>541</v>
      </c>
      <c r="K84" t="s">
        <v>830</v>
      </c>
      <c r="L84" t="s">
        <v>68</v>
      </c>
      <c r="M84" t="s">
        <v>831</v>
      </c>
      <c r="N84" t="s">
        <v>68</v>
      </c>
      <c r="O84" t="s">
        <v>543</v>
      </c>
      <c r="P84" s="4">
        <v>0.1163703357855818</v>
      </c>
      <c r="Q84" s="4">
        <v>7.8327465455233769</v>
      </c>
    </row>
    <row r="85" spans="1:17" x14ac:dyDescent="0.25">
      <c r="A85" t="s">
        <v>832</v>
      </c>
      <c r="B85" t="s">
        <v>330</v>
      </c>
      <c r="C85" s="3">
        <v>78730</v>
      </c>
      <c r="D85" s="3">
        <v>2</v>
      </c>
      <c r="E85" t="s">
        <v>331</v>
      </c>
      <c r="F85" t="s">
        <v>833</v>
      </c>
      <c r="G85" t="s">
        <v>330</v>
      </c>
      <c r="H85" t="s">
        <v>539</v>
      </c>
      <c r="I85" t="s">
        <v>540</v>
      </c>
      <c r="J85" t="s">
        <v>541</v>
      </c>
      <c r="K85" t="s">
        <v>834</v>
      </c>
      <c r="L85" t="s">
        <v>68</v>
      </c>
      <c r="M85" t="s">
        <v>71</v>
      </c>
      <c r="N85" t="s">
        <v>68</v>
      </c>
      <c r="O85" t="s">
        <v>543</v>
      </c>
      <c r="P85" s="4">
        <v>0.18284814306762179</v>
      </c>
      <c r="Q85" s="4">
        <v>7.5314111520386131</v>
      </c>
    </row>
    <row r="86" spans="1:17" x14ac:dyDescent="0.25">
      <c r="A86" t="s">
        <v>835</v>
      </c>
      <c r="B86" t="s">
        <v>335</v>
      </c>
      <c r="C86" s="3">
        <v>77798</v>
      </c>
      <c r="D86" s="3">
        <v>3</v>
      </c>
      <c r="E86" t="s">
        <v>337</v>
      </c>
      <c r="F86" t="s">
        <v>836</v>
      </c>
      <c r="G86" t="s">
        <v>335</v>
      </c>
      <c r="H86" t="s">
        <v>539</v>
      </c>
      <c r="I86" t="s">
        <v>540</v>
      </c>
      <c r="J86" t="s">
        <v>541</v>
      </c>
      <c r="K86" t="s">
        <v>837</v>
      </c>
      <c r="L86" t="s">
        <v>68</v>
      </c>
      <c r="M86" t="s">
        <v>596</v>
      </c>
      <c r="N86" t="s">
        <v>68</v>
      </c>
      <c r="O86" t="s">
        <v>543</v>
      </c>
      <c r="P86" s="4">
        <v>0</v>
      </c>
      <c r="Q86" s="4">
        <v>6.2072546852104171</v>
      </c>
    </row>
    <row r="87" spans="1:17" x14ac:dyDescent="0.25">
      <c r="A87" t="s">
        <v>838</v>
      </c>
      <c r="B87" t="s">
        <v>445</v>
      </c>
      <c r="C87" s="3">
        <v>72729</v>
      </c>
      <c r="D87" s="3">
        <v>1</v>
      </c>
      <c r="E87" t="s">
        <v>446</v>
      </c>
      <c r="F87" t="s">
        <v>839</v>
      </c>
      <c r="G87" t="s">
        <v>445</v>
      </c>
      <c r="H87" t="s">
        <v>539</v>
      </c>
      <c r="I87" t="s">
        <v>540</v>
      </c>
      <c r="J87" t="s">
        <v>541</v>
      </c>
      <c r="K87" t="s">
        <v>840</v>
      </c>
      <c r="L87" t="s">
        <v>68</v>
      </c>
      <c r="M87" t="s">
        <v>831</v>
      </c>
      <c r="N87" t="s">
        <v>68</v>
      </c>
      <c r="O87" t="s">
        <v>543</v>
      </c>
      <c r="P87" s="4">
        <v>1.4876737567199681E-2</v>
      </c>
      <c r="Q87" s="4">
        <v>6.5768400500488111</v>
      </c>
    </row>
    <row r="88" spans="1:17" x14ac:dyDescent="0.25">
      <c r="A88" t="s">
        <v>841</v>
      </c>
      <c r="B88" t="s">
        <v>404</v>
      </c>
      <c r="C88" s="3">
        <v>71100</v>
      </c>
      <c r="D88" s="3">
        <v>1</v>
      </c>
      <c r="E88" t="s">
        <v>405</v>
      </c>
      <c r="F88" t="s">
        <v>842</v>
      </c>
      <c r="G88" t="s">
        <v>404</v>
      </c>
      <c r="H88" t="s">
        <v>539</v>
      </c>
      <c r="I88" t="s">
        <v>540</v>
      </c>
      <c r="J88" t="s">
        <v>541</v>
      </c>
      <c r="K88" t="s">
        <v>843</v>
      </c>
      <c r="L88" t="s">
        <v>68</v>
      </c>
      <c r="M88" t="s">
        <v>71</v>
      </c>
      <c r="N88" t="s">
        <v>68</v>
      </c>
      <c r="O88" t="s">
        <v>543</v>
      </c>
      <c r="P88" s="4">
        <v>0.3886419891989199</v>
      </c>
      <c r="Q88" s="4">
        <v>8.6780590717299582</v>
      </c>
    </row>
    <row r="89" spans="1:17" x14ac:dyDescent="0.25">
      <c r="A89" t="s">
        <v>844</v>
      </c>
      <c r="B89" t="s">
        <v>845</v>
      </c>
      <c r="C89" s="3">
        <v>70870</v>
      </c>
      <c r="D89" s="3">
        <v>1</v>
      </c>
      <c r="E89" t="s">
        <v>846</v>
      </c>
      <c r="F89" t="s">
        <v>847</v>
      </c>
      <c r="G89" t="s">
        <v>845</v>
      </c>
      <c r="H89" t="s">
        <v>539</v>
      </c>
      <c r="I89" t="s">
        <v>540</v>
      </c>
      <c r="J89" t="s">
        <v>541</v>
      </c>
      <c r="K89" t="s">
        <v>848</v>
      </c>
      <c r="L89" t="s">
        <v>68</v>
      </c>
      <c r="M89" t="s">
        <v>68</v>
      </c>
      <c r="N89" t="s">
        <v>68</v>
      </c>
      <c r="O89" t="s">
        <v>543</v>
      </c>
      <c r="P89" s="4">
        <v>5.3121693121693118E-2</v>
      </c>
      <c r="Q89" s="4">
        <v>7.3679130802878507</v>
      </c>
    </row>
    <row r="90" spans="1:17" x14ac:dyDescent="0.25">
      <c r="A90" t="s">
        <v>849</v>
      </c>
      <c r="B90" t="s">
        <v>318</v>
      </c>
      <c r="C90" s="3">
        <v>69853</v>
      </c>
      <c r="D90" s="3">
        <v>5</v>
      </c>
      <c r="E90" t="s">
        <v>319</v>
      </c>
      <c r="F90" t="s">
        <v>850</v>
      </c>
      <c r="G90" t="s">
        <v>318</v>
      </c>
      <c r="H90" t="s">
        <v>539</v>
      </c>
      <c r="I90" t="s">
        <v>540</v>
      </c>
      <c r="J90" t="s">
        <v>541</v>
      </c>
      <c r="K90" t="s">
        <v>851</v>
      </c>
      <c r="L90" t="s">
        <v>68</v>
      </c>
      <c r="M90" t="s">
        <v>72</v>
      </c>
      <c r="N90" t="s">
        <v>68</v>
      </c>
      <c r="O90" t="s">
        <v>543</v>
      </c>
      <c r="P90" s="4">
        <v>0.13000472380079869</v>
      </c>
      <c r="Q90" s="4">
        <v>6.6426066167523228</v>
      </c>
    </row>
    <row r="91" spans="1:17" x14ac:dyDescent="0.25">
      <c r="A91" t="s">
        <v>852</v>
      </c>
      <c r="B91" t="s">
        <v>441</v>
      </c>
      <c r="C91" s="3">
        <v>68781</v>
      </c>
      <c r="D91" s="3">
        <v>2</v>
      </c>
      <c r="E91" t="s">
        <v>442</v>
      </c>
      <c r="F91" t="s">
        <v>853</v>
      </c>
      <c r="G91" t="s">
        <v>441</v>
      </c>
      <c r="H91" t="s">
        <v>539</v>
      </c>
      <c r="I91" t="s">
        <v>540</v>
      </c>
      <c r="J91" t="s">
        <v>541</v>
      </c>
      <c r="K91" t="s">
        <v>854</v>
      </c>
      <c r="L91" t="s">
        <v>68</v>
      </c>
      <c r="M91" t="s">
        <v>71</v>
      </c>
      <c r="N91" t="s">
        <v>68</v>
      </c>
      <c r="O91" t="s">
        <v>543</v>
      </c>
      <c r="P91" s="4">
        <v>9.3466503838101886E-2</v>
      </c>
      <c r="Q91" s="4">
        <v>6.9326412817493202</v>
      </c>
    </row>
    <row r="92" spans="1:17" x14ac:dyDescent="0.25">
      <c r="A92" t="s">
        <v>855</v>
      </c>
      <c r="B92" t="s">
        <v>250</v>
      </c>
      <c r="C92" s="3">
        <v>66196</v>
      </c>
      <c r="D92" s="3">
        <v>2</v>
      </c>
      <c r="E92" t="s">
        <v>251</v>
      </c>
      <c r="F92" t="s">
        <v>856</v>
      </c>
      <c r="G92" t="s">
        <v>250</v>
      </c>
      <c r="H92" t="s">
        <v>539</v>
      </c>
      <c r="I92" t="s">
        <v>540</v>
      </c>
      <c r="J92" t="s">
        <v>541</v>
      </c>
      <c r="K92" t="s">
        <v>857</v>
      </c>
      <c r="L92" t="s">
        <v>68</v>
      </c>
      <c r="M92" t="s">
        <v>72</v>
      </c>
      <c r="N92" t="s">
        <v>68</v>
      </c>
      <c r="O92" t="s">
        <v>543</v>
      </c>
      <c r="P92" s="4">
        <v>0</v>
      </c>
      <c r="Q92" s="4">
        <v>6.7825095171913707</v>
      </c>
    </row>
    <row r="93" spans="1:17" x14ac:dyDescent="0.25">
      <c r="A93" t="s">
        <v>858</v>
      </c>
      <c r="B93" t="s">
        <v>136</v>
      </c>
      <c r="C93" s="3">
        <v>65866</v>
      </c>
      <c r="D93" s="3">
        <v>1</v>
      </c>
      <c r="E93" t="s">
        <v>137</v>
      </c>
      <c r="F93" t="s">
        <v>859</v>
      </c>
      <c r="G93" t="s">
        <v>136</v>
      </c>
      <c r="H93" t="s">
        <v>539</v>
      </c>
      <c r="I93" t="s">
        <v>540</v>
      </c>
      <c r="J93" t="s">
        <v>541</v>
      </c>
      <c r="K93" t="s">
        <v>860</v>
      </c>
      <c r="L93" t="s">
        <v>68</v>
      </c>
      <c r="M93" t="s">
        <v>68</v>
      </c>
      <c r="N93" t="s">
        <v>68</v>
      </c>
      <c r="O93" t="s">
        <v>543</v>
      </c>
      <c r="P93" s="4">
        <v>1.1431954818728369E-2</v>
      </c>
      <c r="Q93" s="4">
        <v>7.2625178392493854</v>
      </c>
    </row>
    <row r="94" spans="1:17" x14ac:dyDescent="0.25">
      <c r="A94" t="s">
        <v>861</v>
      </c>
      <c r="B94" t="s">
        <v>230</v>
      </c>
      <c r="C94" s="3">
        <v>65591</v>
      </c>
      <c r="D94" s="3">
        <v>2</v>
      </c>
      <c r="E94" t="s">
        <v>231</v>
      </c>
      <c r="F94" t="s">
        <v>862</v>
      </c>
      <c r="G94" t="s">
        <v>230</v>
      </c>
      <c r="H94" t="s">
        <v>539</v>
      </c>
      <c r="I94" t="s">
        <v>540</v>
      </c>
      <c r="J94" t="s">
        <v>541</v>
      </c>
      <c r="K94" t="s">
        <v>863</v>
      </c>
      <c r="L94" t="s">
        <v>68</v>
      </c>
      <c r="M94" t="s">
        <v>596</v>
      </c>
      <c r="N94" t="s">
        <v>68</v>
      </c>
      <c r="O94" t="s">
        <v>543</v>
      </c>
      <c r="P94" s="4">
        <v>0.19141994694636699</v>
      </c>
      <c r="Q94" s="4">
        <v>7.5028281319083412</v>
      </c>
    </row>
    <row r="95" spans="1:17" x14ac:dyDescent="0.25">
      <c r="A95" t="s">
        <v>864</v>
      </c>
      <c r="B95" t="s">
        <v>865</v>
      </c>
      <c r="C95" s="3">
        <v>65542</v>
      </c>
      <c r="D95" s="3">
        <v>4</v>
      </c>
      <c r="E95" t="s">
        <v>866</v>
      </c>
      <c r="F95" t="s">
        <v>867</v>
      </c>
      <c r="G95" t="s">
        <v>865</v>
      </c>
      <c r="H95" t="s">
        <v>539</v>
      </c>
      <c r="I95" t="s">
        <v>540</v>
      </c>
      <c r="J95" t="s">
        <v>541</v>
      </c>
      <c r="K95" t="s">
        <v>868</v>
      </c>
      <c r="L95" t="s">
        <v>68</v>
      </c>
      <c r="M95" t="s">
        <v>596</v>
      </c>
      <c r="N95" t="s">
        <v>68</v>
      </c>
      <c r="O95" t="s">
        <v>543</v>
      </c>
      <c r="P95" s="4">
        <v>0</v>
      </c>
      <c r="Q95" s="4">
        <v>6.5426444112172346</v>
      </c>
    </row>
    <row r="96" spans="1:17" x14ac:dyDescent="0.25">
      <c r="A96" t="s">
        <v>869</v>
      </c>
      <c r="B96" t="s">
        <v>503</v>
      </c>
      <c r="C96" s="3">
        <v>65422</v>
      </c>
      <c r="D96" s="3">
        <v>1</v>
      </c>
      <c r="E96" t="s">
        <v>504</v>
      </c>
      <c r="F96" t="s">
        <v>870</v>
      </c>
      <c r="G96" t="s">
        <v>503</v>
      </c>
      <c r="H96" t="s">
        <v>539</v>
      </c>
      <c r="I96" t="s">
        <v>540</v>
      </c>
      <c r="J96" t="s">
        <v>541</v>
      </c>
      <c r="K96" t="s">
        <v>871</v>
      </c>
      <c r="L96" t="s">
        <v>68</v>
      </c>
      <c r="M96" t="s">
        <v>589</v>
      </c>
      <c r="N96" t="s">
        <v>68</v>
      </c>
      <c r="O96" t="s">
        <v>543</v>
      </c>
      <c r="P96" s="4">
        <v>0.1564186039402693</v>
      </c>
      <c r="Q96" s="4">
        <v>8.4234813976949656</v>
      </c>
    </row>
    <row r="97" spans="1:17" x14ac:dyDescent="0.25">
      <c r="A97" t="s">
        <v>872</v>
      </c>
      <c r="B97" t="s">
        <v>451</v>
      </c>
      <c r="C97" s="3">
        <v>64646</v>
      </c>
      <c r="D97" s="3">
        <v>2</v>
      </c>
      <c r="E97" t="s">
        <v>452</v>
      </c>
      <c r="F97" t="s">
        <v>873</v>
      </c>
      <c r="G97" t="s">
        <v>451</v>
      </c>
      <c r="H97" t="s">
        <v>539</v>
      </c>
      <c r="I97" t="s">
        <v>540</v>
      </c>
      <c r="J97" t="s">
        <v>541</v>
      </c>
      <c r="K97" t="s">
        <v>874</v>
      </c>
      <c r="L97" t="s">
        <v>68</v>
      </c>
      <c r="M97" t="s">
        <v>596</v>
      </c>
      <c r="N97" t="s">
        <v>68</v>
      </c>
      <c r="O97" t="s">
        <v>543</v>
      </c>
      <c r="P97" s="4">
        <v>0.1070892694169876</v>
      </c>
      <c r="Q97" s="4">
        <v>7.9964576307892212</v>
      </c>
    </row>
    <row r="98" spans="1:17" x14ac:dyDescent="0.25">
      <c r="A98" t="s">
        <v>875</v>
      </c>
      <c r="B98" t="s">
        <v>460</v>
      </c>
      <c r="C98" s="3">
        <v>64585</v>
      </c>
      <c r="D98" s="3">
        <v>4</v>
      </c>
      <c r="E98" t="s">
        <v>876</v>
      </c>
      <c r="F98" t="s">
        <v>877</v>
      </c>
      <c r="G98" t="s">
        <v>460</v>
      </c>
      <c r="H98" t="s">
        <v>539</v>
      </c>
      <c r="I98" t="s">
        <v>540</v>
      </c>
      <c r="J98" t="s">
        <v>541</v>
      </c>
      <c r="K98" t="s">
        <v>878</v>
      </c>
      <c r="L98" t="s">
        <v>68</v>
      </c>
      <c r="M98" t="s">
        <v>73</v>
      </c>
      <c r="N98" t="s">
        <v>68</v>
      </c>
      <c r="O98" t="s">
        <v>543</v>
      </c>
      <c r="P98" s="4">
        <v>1.0528108501447621E-2</v>
      </c>
      <c r="Q98" s="4">
        <v>7.4482464968645967</v>
      </c>
    </row>
    <row r="99" spans="1:17" x14ac:dyDescent="0.25">
      <c r="A99" t="s">
        <v>879</v>
      </c>
      <c r="B99" t="s">
        <v>880</v>
      </c>
      <c r="C99" s="3">
        <v>63916</v>
      </c>
      <c r="D99" s="3">
        <v>4</v>
      </c>
      <c r="E99" t="s">
        <v>881</v>
      </c>
      <c r="F99" t="s">
        <v>882</v>
      </c>
      <c r="G99" t="s">
        <v>880</v>
      </c>
      <c r="H99" t="s">
        <v>539</v>
      </c>
      <c r="I99" t="s">
        <v>540</v>
      </c>
      <c r="J99" t="s">
        <v>541</v>
      </c>
      <c r="K99" t="s">
        <v>883</v>
      </c>
      <c r="L99" t="s">
        <v>68</v>
      </c>
      <c r="M99" t="s">
        <v>77</v>
      </c>
      <c r="N99" t="s">
        <v>68</v>
      </c>
      <c r="O99" t="s">
        <v>543</v>
      </c>
      <c r="P99" s="4">
        <v>0.61253481022560152</v>
      </c>
      <c r="Q99" s="4">
        <v>7.6534357594342577</v>
      </c>
    </row>
    <row r="100" spans="1:17" x14ac:dyDescent="0.25">
      <c r="A100" t="s">
        <v>884</v>
      </c>
      <c r="B100" t="s">
        <v>476</v>
      </c>
      <c r="C100" s="3">
        <v>63900</v>
      </c>
      <c r="D100" s="3">
        <v>2</v>
      </c>
      <c r="E100" t="s">
        <v>477</v>
      </c>
      <c r="F100" t="s">
        <v>885</v>
      </c>
      <c r="G100" t="s">
        <v>476</v>
      </c>
      <c r="H100" t="s">
        <v>539</v>
      </c>
      <c r="I100" t="s">
        <v>540</v>
      </c>
      <c r="J100" t="s">
        <v>541</v>
      </c>
      <c r="K100" t="s">
        <v>886</v>
      </c>
      <c r="L100" t="s">
        <v>68</v>
      </c>
      <c r="M100" t="s">
        <v>71</v>
      </c>
      <c r="N100" t="s">
        <v>68</v>
      </c>
      <c r="O100" t="s">
        <v>543</v>
      </c>
      <c r="P100" s="4">
        <v>0.32798147191837629</v>
      </c>
      <c r="Q100" s="4">
        <v>7.1064162754303597</v>
      </c>
    </row>
    <row r="101" spans="1:17" x14ac:dyDescent="0.25">
      <c r="A101" t="s">
        <v>887</v>
      </c>
      <c r="B101" t="s">
        <v>888</v>
      </c>
      <c r="C101" s="3">
        <v>63080</v>
      </c>
      <c r="D101" s="3">
        <v>1</v>
      </c>
      <c r="E101" t="s">
        <v>889</v>
      </c>
      <c r="F101" t="s">
        <v>890</v>
      </c>
      <c r="G101" t="s">
        <v>888</v>
      </c>
      <c r="H101" t="s">
        <v>539</v>
      </c>
      <c r="I101" t="s">
        <v>540</v>
      </c>
      <c r="J101" t="s">
        <v>541</v>
      </c>
      <c r="K101" t="s">
        <v>891</v>
      </c>
      <c r="L101" t="s">
        <v>68</v>
      </c>
      <c r="M101" t="s">
        <v>741</v>
      </c>
      <c r="N101" t="s">
        <v>68</v>
      </c>
      <c r="O101" t="s">
        <v>543</v>
      </c>
      <c r="P101" s="4">
        <v>0.1047208395421832</v>
      </c>
      <c r="Q101" s="4">
        <v>7.00787888395688</v>
      </c>
    </row>
    <row r="102" spans="1:17" x14ac:dyDescent="0.25">
      <c r="A102" t="s">
        <v>892</v>
      </c>
      <c r="B102" t="s">
        <v>457</v>
      </c>
      <c r="C102" s="3">
        <v>62759</v>
      </c>
      <c r="D102" s="3">
        <v>2</v>
      </c>
      <c r="E102" t="s">
        <v>893</v>
      </c>
      <c r="F102" t="s">
        <v>894</v>
      </c>
      <c r="G102" t="s">
        <v>457</v>
      </c>
      <c r="H102" t="s">
        <v>539</v>
      </c>
      <c r="I102" t="s">
        <v>540</v>
      </c>
      <c r="J102" t="s">
        <v>541</v>
      </c>
      <c r="K102" t="s">
        <v>895</v>
      </c>
      <c r="L102" t="s">
        <v>68</v>
      </c>
      <c r="M102" t="s">
        <v>71</v>
      </c>
      <c r="N102" t="s">
        <v>68</v>
      </c>
      <c r="O102" t="s">
        <v>543</v>
      </c>
      <c r="P102" s="4">
        <v>0.11435263375928111</v>
      </c>
      <c r="Q102" s="4">
        <v>6.3179782979333643</v>
      </c>
    </row>
    <row r="103" spans="1:17" x14ac:dyDescent="0.25">
      <c r="A103" t="s">
        <v>896</v>
      </c>
      <c r="B103" t="s">
        <v>276</v>
      </c>
      <c r="C103" s="3">
        <v>62642</v>
      </c>
      <c r="D103" s="3">
        <v>2</v>
      </c>
      <c r="E103" t="s">
        <v>277</v>
      </c>
      <c r="F103" t="s">
        <v>897</v>
      </c>
      <c r="G103" t="s">
        <v>276</v>
      </c>
      <c r="H103" t="s">
        <v>539</v>
      </c>
      <c r="I103" t="s">
        <v>540</v>
      </c>
      <c r="J103" t="s">
        <v>541</v>
      </c>
      <c r="K103" t="s">
        <v>898</v>
      </c>
      <c r="L103" t="s">
        <v>68</v>
      </c>
      <c r="M103" t="s">
        <v>71</v>
      </c>
      <c r="N103" t="s">
        <v>68</v>
      </c>
      <c r="O103" t="s">
        <v>543</v>
      </c>
      <c r="P103" s="4">
        <v>0</v>
      </c>
      <c r="Q103" s="4">
        <v>5.8809424986430816</v>
      </c>
    </row>
    <row r="104" spans="1:17" x14ac:dyDescent="0.25">
      <c r="A104" t="s">
        <v>899</v>
      </c>
      <c r="B104" t="s">
        <v>900</v>
      </c>
      <c r="C104" s="3">
        <v>62436</v>
      </c>
      <c r="D104" s="3">
        <v>2</v>
      </c>
      <c r="E104" t="s">
        <v>901</v>
      </c>
      <c r="F104" t="s">
        <v>902</v>
      </c>
      <c r="G104" t="s">
        <v>900</v>
      </c>
      <c r="H104" t="s">
        <v>539</v>
      </c>
      <c r="I104" t="s">
        <v>540</v>
      </c>
      <c r="J104" t="s">
        <v>541</v>
      </c>
      <c r="K104" t="s">
        <v>903</v>
      </c>
      <c r="L104" t="s">
        <v>68</v>
      </c>
      <c r="M104" t="s">
        <v>596</v>
      </c>
      <c r="N104" t="s">
        <v>68</v>
      </c>
      <c r="O104" t="s">
        <v>543</v>
      </c>
      <c r="P104" s="4">
        <v>0</v>
      </c>
      <c r="Q104" s="4">
        <v>8.0346594913191112</v>
      </c>
    </row>
    <row r="105" spans="1:17" x14ac:dyDescent="0.25">
      <c r="A105" t="s">
        <v>904</v>
      </c>
      <c r="B105" t="s">
        <v>905</v>
      </c>
      <c r="C105" s="3">
        <v>60923</v>
      </c>
      <c r="D105" s="3">
        <v>1</v>
      </c>
      <c r="E105" t="s">
        <v>906</v>
      </c>
      <c r="F105" t="s">
        <v>907</v>
      </c>
      <c r="G105" t="s">
        <v>905</v>
      </c>
      <c r="H105" t="s">
        <v>539</v>
      </c>
      <c r="I105" t="s">
        <v>540</v>
      </c>
      <c r="J105" t="s">
        <v>541</v>
      </c>
      <c r="K105" t="s">
        <v>908</v>
      </c>
      <c r="L105" t="s">
        <v>68</v>
      </c>
      <c r="M105" t="s">
        <v>71</v>
      </c>
      <c r="N105" t="s">
        <v>68</v>
      </c>
      <c r="O105" t="s">
        <v>543</v>
      </c>
      <c r="P105" s="4">
        <v>0.73407956932773111</v>
      </c>
      <c r="Q105" s="4">
        <v>8.4899463256898056</v>
      </c>
    </row>
    <row r="106" spans="1:17" x14ac:dyDescent="0.25">
      <c r="A106" t="s">
        <v>909</v>
      </c>
      <c r="B106" t="s">
        <v>910</v>
      </c>
      <c r="C106" s="3">
        <v>60013</v>
      </c>
      <c r="D106" s="3">
        <v>2</v>
      </c>
      <c r="E106" t="s">
        <v>911</v>
      </c>
      <c r="F106" t="s">
        <v>912</v>
      </c>
      <c r="G106" t="s">
        <v>910</v>
      </c>
      <c r="H106" t="s">
        <v>539</v>
      </c>
      <c r="I106" t="s">
        <v>540</v>
      </c>
      <c r="J106" t="s">
        <v>541</v>
      </c>
      <c r="K106" t="s">
        <v>913</v>
      </c>
      <c r="L106" t="s">
        <v>68</v>
      </c>
      <c r="M106" t="s">
        <v>596</v>
      </c>
      <c r="N106" t="s">
        <v>68</v>
      </c>
      <c r="O106" t="s">
        <v>543</v>
      </c>
      <c r="P106" s="4">
        <v>3.9824704647326414E-3</v>
      </c>
      <c r="Q106" s="4">
        <v>6.5570459733724364</v>
      </c>
    </row>
    <row r="107" spans="1:17" x14ac:dyDescent="0.25">
      <c r="A107" t="s">
        <v>914</v>
      </c>
      <c r="B107" t="s">
        <v>915</v>
      </c>
      <c r="C107" s="3">
        <v>59559</v>
      </c>
      <c r="D107" s="3">
        <v>1</v>
      </c>
      <c r="E107" t="s">
        <v>916</v>
      </c>
      <c r="F107" t="s">
        <v>917</v>
      </c>
      <c r="G107" t="s">
        <v>915</v>
      </c>
      <c r="H107" t="s">
        <v>539</v>
      </c>
      <c r="I107" t="s">
        <v>540</v>
      </c>
      <c r="J107" t="s">
        <v>541</v>
      </c>
      <c r="K107" t="s">
        <v>918</v>
      </c>
      <c r="L107" t="s">
        <v>68</v>
      </c>
      <c r="M107" t="s">
        <v>68</v>
      </c>
      <c r="N107" t="s">
        <v>68</v>
      </c>
      <c r="O107" t="s">
        <v>543</v>
      </c>
      <c r="P107" s="4">
        <v>0</v>
      </c>
      <c r="Q107" s="4">
        <v>7.1218119847546131</v>
      </c>
    </row>
    <row r="108" spans="1:17" x14ac:dyDescent="0.25">
      <c r="A108" t="s">
        <v>919</v>
      </c>
      <c r="B108" t="s">
        <v>920</v>
      </c>
      <c r="C108" s="3">
        <v>58343</v>
      </c>
      <c r="D108" s="3">
        <v>19</v>
      </c>
      <c r="E108" t="s">
        <v>921</v>
      </c>
      <c r="F108" t="s">
        <v>922</v>
      </c>
      <c r="G108" t="s">
        <v>920</v>
      </c>
      <c r="H108" t="s">
        <v>539</v>
      </c>
      <c r="I108" t="s">
        <v>540</v>
      </c>
      <c r="J108" t="s">
        <v>541</v>
      </c>
      <c r="K108" t="s">
        <v>923</v>
      </c>
      <c r="L108" t="s">
        <v>68</v>
      </c>
      <c r="M108" t="s">
        <v>74</v>
      </c>
      <c r="N108" t="s">
        <v>68</v>
      </c>
      <c r="O108" t="s">
        <v>543</v>
      </c>
      <c r="P108" s="4">
        <v>0.12694304958096969</v>
      </c>
      <c r="Q108" s="4">
        <v>5.9708791114615289</v>
      </c>
    </row>
    <row r="109" spans="1:17" x14ac:dyDescent="0.25">
      <c r="A109" t="s">
        <v>924</v>
      </c>
      <c r="B109" t="s">
        <v>208</v>
      </c>
      <c r="C109" s="3">
        <v>57538</v>
      </c>
      <c r="D109" s="3">
        <v>1</v>
      </c>
      <c r="E109" t="s">
        <v>209</v>
      </c>
      <c r="F109" t="s">
        <v>925</v>
      </c>
      <c r="G109" t="s">
        <v>208</v>
      </c>
      <c r="H109" t="s">
        <v>539</v>
      </c>
      <c r="I109" t="s">
        <v>540</v>
      </c>
      <c r="J109" t="s">
        <v>541</v>
      </c>
      <c r="K109" t="s">
        <v>926</v>
      </c>
      <c r="L109" t="s">
        <v>68</v>
      </c>
      <c r="M109" t="s">
        <v>927</v>
      </c>
      <c r="N109" t="s">
        <v>68</v>
      </c>
      <c r="O109" t="s">
        <v>543</v>
      </c>
      <c r="P109" s="4">
        <v>0.39150910607535111</v>
      </c>
      <c r="Q109" s="4">
        <v>8.2185164586881712</v>
      </c>
    </row>
    <row r="110" spans="1:17" x14ac:dyDescent="0.25">
      <c r="A110" t="s">
        <v>928</v>
      </c>
      <c r="B110" t="s">
        <v>929</v>
      </c>
      <c r="C110" s="3">
        <v>56684</v>
      </c>
      <c r="D110" s="3">
        <v>3</v>
      </c>
      <c r="E110" t="s">
        <v>930</v>
      </c>
      <c r="F110" t="s">
        <v>931</v>
      </c>
      <c r="G110" t="s">
        <v>929</v>
      </c>
      <c r="H110" t="s">
        <v>539</v>
      </c>
      <c r="I110" t="s">
        <v>540</v>
      </c>
      <c r="J110" t="s">
        <v>541</v>
      </c>
      <c r="K110" t="s">
        <v>932</v>
      </c>
      <c r="L110" t="s">
        <v>68</v>
      </c>
      <c r="M110" t="s">
        <v>71</v>
      </c>
      <c r="N110" t="s">
        <v>68</v>
      </c>
      <c r="O110" t="s">
        <v>543</v>
      </c>
      <c r="P110" s="4">
        <v>0.1075126563299289</v>
      </c>
      <c r="Q110" s="4">
        <v>7.3956848493402019</v>
      </c>
    </row>
    <row r="111" spans="1:17" x14ac:dyDescent="0.25">
      <c r="A111" t="s">
        <v>933</v>
      </c>
      <c r="B111" t="s">
        <v>264</v>
      </c>
      <c r="C111" s="3">
        <v>55477</v>
      </c>
      <c r="D111" s="3">
        <v>1</v>
      </c>
      <c r="E111" t="s">
        <v>265</v>
      </c>
      <c r="F111" t="s">
        <v>934</v>
      </c>
      <c r="G111" t="s">
        <v>264</v>
      </c>
      <c r="H111" t="s">
        <v>539</v>
      </c>
      <c r="I111" t="s">
        <v>540</v>
      </c>
      <c r="J111" t="s">
        <v>541</v>
      </c>
      <c r="K111" t="s">
        <v>935</v>
      </c>
      <c r="L111" t="s">
        <v>68</v>
      </c>
      <c r="M111" t="s">
        <v>68</v>
      </c>
      <c r="N111" t="s">
        <v>68</v>
      </c>
      <c r="O111" t="s">
        <v>543</v>
      </c>
      <c r="P111" s="4">
        <v>0</v>
      </c>
      <c r="Q111" s="4">
        <v>7.8650071200677756</v>
      </c>
    </row>
    <row r="112" spans="1:17" x14ac:dyDescent="0.25">
      <c r="A112" t="s">
        <v>936</v>
      </c>
      <c r="B112" t="s">
        <v>937</v>
      </c>
      <c r="C112" s="3">
        <v>55460</v>
      </c>
      <c r="D112" s="3">
        <v>3</v>
      </c>
      <c r="E112" t="s">
        <v>938</v>
      </c>
      <c r="F112" t="s">
        <v>939</v>
      </c>
      <c r="G112" t="s">
        <v>937</v>
      </c>
      <c r="H112" t="s">
        <v>539</v>
      </c>
      <c r="I112" t="s">
        <v>540</v>
      </c>
      <c r="J112" t="s">
        <v>541</v>
      </c>
      <c r="K112" t="s">
        <v>940</v>
      </c>
      <c r="L112" t="s">
        <v>68</v>
      </c>
      <c r="M112" t="s">
        <v>74</v>
      </c>
      <c r="N112" t="s">
        <v>68</v>
      </c>
      <c r="O112" t="s">
        <v>543</v>
      </c>
      <c r="P112" s="4">
        <v>4.1269268908320562E-2</v>
      </c>
      <c r="Q112" s="4">
        <v>6.0838802740714026</v>
      </c>
    </row>
    <row r="113" spans="1:17" x14ac:dyDescent="0.25">
      <c r="A113" t="s">
        <v>941</v>
      </c>
      <c r="B113" t="s">
        <v>942</v>
      </c>
      <c r="C113" s="3">
        <v>55235</v>
      </c>
      <c r="D113" s="3">
        <v>3</v>
      </c>
      <c r="E113" t="s">
        <v>943</v>
      </c>
      <c r="F113" t="s">
        <v>944</v>
      </c>
      <c r="G113" t="s">
        <v>942</v>
      </c>
      <c r="H113" t="s">
        <v>539</v>
      </c>
      <c r="I113" t="s">
        <v>540</v>
      </c>
      <c r="J113" t="s">
        <v>541</v>
      </c>
      <c r="K113" t="s">
        <v>945</v>
      </c>
      <c r="L113" t="s">
        <v>68</v>
      </c>
      <c r="M113" t="s">
        <v>71</v>
      </c>
      <c r="N113" t="s">
        <v>68</v>
      </c>
      <c r="O113" t="s">
        <v>543</v>
      </c>
      <c r="P113" s="4">
        <v>0.85285758250511412</v>
      </c>
      <c r="Q113" s="4">
        <v>9.3326332941069978</v>
      </c>
    </row>
    <row r="114" spans="1:17" x14ac:dyDescent="0.25">
      <c r="A114" t="s">
        <v>946</v>
      </c>
      <c r="B114" t="s">
        <v>261</v>
      </c>
      <c r="C114" s="3">
        <v>55030</v>
      </c>
      <c r="D114" s="3">
        <v>4</v>
      </c>
      <c r="E114" t="s">
        <v>947</v>
      </c>
      <c r="F114" t="s">
        <v>948</v>
      </c>
      <c r="G114" t="s">
        <v>261</v>
      </c>
      <c r="H114" t="s">
        <v>539</v>
      </c>
      <c r="I114" t="s">
        <v>540</v>
      </c>
      <c r="J114" t="s">
        <v>541</v>
      </c>
      <c r="K114" t="s">
        <v>949</v>
      </c>
      <c r="L114" t="s">
        <v>68</v>
      </c>
      <c r="M114" t="s">
        <v>71</v>
      </c>
      <c r="N114" t="s">
        <v>68</v>
      </c>
      <c r="O114" t="s">
        <v>543</v>
      </c>
      <c r="P114" s="4">
        <v>0</v>
      </c>
      <c r="Q114" s="4">
        <v>7.5800472469562061</v>
      </c>
    </row>
    <row r="115" spans="1:17" x14ac:dyDescent="0.25">
      <c r="A115" t="s">
        <v>950</v>
      </c>
      <c r="B115" t="s">
        <v>243</v>
      </c>
      <c r="C115" s="3">
        <v>54827</v>
      </c>
      <c r="D115" s="3">
        <v>2</v>
      </c>
      <c r="E115" t="s">
        <v>291</v>
      </c>
      <c r="F115" t="s">
        <v>951</v>
      </c>
      <c r="G115" t="s">
        <v>243</v>
      </c>
      <c r="H115" t="s">
        <v>539</v>
      </c>
      <c r="I115" t="s">
        <v>540</v>
      </c>
      <c r="J115" t="s">
        <v>541</v>
      </c>
      <c r="K115" t="s">
        <v>952</v>
      </c>
      <c r="L115" t="s">
        <v>68</v>
      </c>
      <c r="M115" t="s">
        <v>74</v>
      </c>
      <c r="N115" t="s">
        <v>68</v>
      </c>
      <c r="O115" t="s">
        <v>543</v>
      </c>
      <c r="P115" s="4">
        <v>2.1649522141971259E-2</v>
      </c>
      <c r="Q115" s="4">
        <v>5.9049920659529063</v>
      </c>
    </row>
    <row r="116" spans="1:17" x14ac:dyDescent="0.25">
      <c r="A116" t="s">
        <v>953</v>
      </c>
      <c r="B116" t="s">
        <v>259</v>
      </c>
      <c r="C116" s="3">
        <v>54794</v>
      </c>
      <c r="D116" s="3">
        <v>2</v>
      </c>
      <c r="E116" t="s">
        <v>260</v>
      </c>
      <c r="F116" t="s">
        <v>954</v>
      </c>
      <c r="G116" t="s">
        <v>259</v>
      </c>
      <c r="H116" t="s">
        <v>539</v>
      </c>
      <c r="I116" t="s">
        <v>540</v>
      </c>
      <c r="J116" t="s">
        <v>541</v>
      </c>
      <c r="K116" t="s">
        <v>955</v>
      </c>
      <c r="L116" t="s">
        <v>68</v>
      </c>
      <c r="M116" t="s">
        <v>72</v>
      </c>
      <c r="N116" t="s">
        <v>68</v>
      </c>
      <c r="O116" t="s">
        <v>543</v>
      </c>
      <c r="P116" s="4">
        <v>0</v>
      </c>
      <c r="Q116" s="4">
        <v>8.1987443880716864</v>
      </c>
    </row>
    <row r="117" spans="1:17" x14ac:dyDescent="0.25">
      <c r="A117" t="s">
        <v>956</v>
      </c>
      <c r="B117" t="s">
        <v>957</v>
      </c>
      <c r="C117" s="3">
        <v>54453</v>
      </c>
      <c r="D117" s="3">
        <v>2</v>
      </c>
      <c r="E117" t="s">
        <v>958</v>
      </c>
      <c r="F117" t="s">
        <v>959</v>
      </c>
      <c r="G117" t="s">
        <v>957</v>
      </c>
      <c r="H117" t="s">
        <v>539</v>
      </c>
      <c r="I117" t="s">
        <v>540</v>
      </c>
      <c r="J117" t="s">
        <v>541</v>
      </c>
      <c r="K117" t="s">
        <v>960</v>
      </c>
      <c r="L117" t="s">
        <v>68</v>
      </c>
      <c r="M117" t="s">
        <v>68</v>
      </c>
      <c r="N117" t="s">
        <v>68</v>
      </c>
      <c r="O117" t="s">
        <v>543</v>
      </c>
      <c r="P117" s="4">
        <v>0.33478404583516969</v>
      </c>
      <c r="Q117" s="4">
        <v>8.819752814353663</v>
      </c>
    </row>
    <row r="118" spans="1:17" x14ac:dyDescent="0.25">
      <c r="A118" t="s">
        <v>961</v>
      </c>
      <c r="B118" t="s">
        <v>195</v>
      </c>
      <c r="C118" s="3">
        <v>52004</v>
      </c>
      <c r="D118" s="3">
        <v>5</v>
      </c>
      <c r="E118" t="s">
        <v>196</v>
      </c>
      <c r="F118" t="s">
        <v>962</v>
      </c>
      <c r="G118" t="s">
        <v>195</v>
      </c>
      <c r="H118" t="s">
        <v>539</v>
      </c>
      <c r="I118" t="s">
        <v>540</v>
      </c>
      <c r="J118" t="s">
        <v>541</v>
      </c>
      <c r="K118" t="s">
        <v>963</v>
      </c>
      <c r="L118" t="s">
        <v>68</v>
      </c>
      <c r="M118" t="s">
        <v>72</v>
      </c>
      <c r="N118" t="s">
        <v>68</v>
      </c>
      <c r="O118" t="s">
        <v>543</v>
      </c>
      <c r="P118" s="4">
        <v>0</v>
      </c>
      <c r="Q118" s="4">
        <v>7.7484039689254676</v>
      </c>
    </row>
    <row r="119" spans="1:17" x14ac:dyDescent="0.25">
      <c r="A119" t="s">
        <v>964</v>
      </c>
      <c r="B119" t="s">
        <v>238</v>
      </c>
      <c r="C119" s="3">
        <v>49946</v>
      </c>
      <c r="D119" s="3">
        <v>3</v>
      </c>
      <c r="E119" t="s">
        <v>965</v>
      </c>
      <c r="F119" t="s">
        <v>966</v>
      </c>
      <c r="G119" t="s">
        <v>238</v>
      </c>
      <c r="H119" t="s">
        <v>539</v>
      </c>
      <c r="I119" t="s">
        <v>540</v>
      </c>
      <c r="J119" t="s">
        <v>541</v>
      </c>
      <c r="K119" t="s">
        <v>967</v>
      </c>
      <c r="L119" t="s">
        <v>68</v>
      </c>
      <c r="M119" t="s">
        <v>74</v>
      </c>
      <c r="N119" t="s">
        <v>68</v>
      </c>
      <c r="O119" t="s">
        <v>543</v>
      </c>
      <c r="P119" s="4">
        <v>0.2137265501431517</v>
      </c>
      <c r="Q119" s="4">
        <v>7.020902574780763</v>
      </c>
    </row>
    <row r="120" spans="1:17" x14ac:dyDescent="0.25">
      <c r="A120" t="s">
        <v>968</v>
      </c>
      <c r="B120" t="s">
        <v>969</v>
      </c>
      <c r="C120" s="3">
        <v>49310</v>
      </c>
      <c r="D120" s="3">
        <v>1</v>
      </c>
      <c r="E120" t="s">
        <v>970</v>
      </c>
      <c r="F120" t="s">
        <v>971</v>
      </c>
      <c r="G120" t="s">
        <v>969</v>
      </c>
      <c r="H120" t="s">
        <v>539</v>
      </c>
      <c r="I120" t="s">
        <v>540</v>
      </c>
      <c r="J120" t="s">
        <v>541</v>
      </c>
      <c r="K120" t="s">
        <v>972</v>
      </c>
      <c r="L120" t="s">
        <v>68</v>
      </c>
      <c r="M120" t="s">
        <v>68</v>
      </c>
      <c r="N120" t="s">
        <v>68</v>
      </c>
      <c r="O120" t="s">
        <v>543</v>
      </c>
      <c r="P120" s="4">
        <v>0.58989698247890976</v>
      </c>
      <c r="Q120" s="4">
        <v>8.1119245589129996</v>
      </c>
    </row>
    <row r="121" spans="1:17" x14ac:dyDescent="0.25">
      <c r="A121" t="s">
        <v>973</v>
      </c>
      <c r="B121" t="s">
        <v>974</v>
      </c>
      <c r="C121" s="3">
        <v>49096</v>
      </c>
      <c r="D121" s="3">
        <v>8</v>
      </c>
      <c r="E121" t="s">
        <v>975</v>
      </c>
      <c r="F121" t="s">
        <v>976</v>
      </c>
      <c r="G121" t="s">
        <v>974</v>
      </c>
      <c r="H121" t="s">
        <v>539</v>
      </c>
      <c r="I121" t="s">
        <v>540</v>
      </c>
      <c r="J121" t="s">
        <v>541</v>
      </c>
      <c r="K121" t="s">
        <v>977</v>
      </c>
      <c r="L121" t="s">
        <v>68</v>
      </c>
      <c r="M121" t="s">
        <v>74</v>
      </c>
      <c r="N121" t="s">
        <v>68</v>
      </c>
      <c r="O121" t="s">
        <v>543</v>
      </c>
      <c r="P121" s="4">
        <v>0.42693036234393139</v>
      </c>
      <c r="Q121" s="4">
        <v>8.1121068926185433</v>
      </c>
    </row>
    <row r="122" spans="1:17" x14ac:dyDescent="0.25">
      <c r="A122" t="s">
        <v>978</v>
      </c>
      <c r="B122" t="s">
        <v>979</v>
      </c>
      <c r="C122" s="3">
        <v>48420</v>
      </c>
      <c r="D122" s="3">
        <v>4</v>
      </c>
      <c r="E122" t="s">
        <v>980</v>
      </c>
      <c r="F122" t="s">
        <v>981</v>
      </c>
      <c r="G122" t="s">
        <v>979</v>
      </c>
      <c r="H122" t="s">
        <v>539</v>
      </c>
      <c r="I122" t="s">
        <v>540</v>
      </c>
      <c r="J122" t="s">
        <v>541</v>
      </c>
      <c r="K122" t="s">
        <v>982</v>
      </c>
      <c r="L122" t="s">
        <v>68</v>
      </c>
      <c r="M122" t="s">
        <v>72</v>
      </c>
      <c r="N122" t="s">
        <v>68</v>
      </c>
      <c r="O122" t="s">
        <v>543</v>
      </c>
      <c r="P122" s="4">
        <v>0</v>
      </c>
      <c r="Q122" s="4">
        <v>7.0379182156133826</v>
      </c>
    </row>
    <row r="123" spans="1:17" x14ac:dyDescent="0.25">
      <c r="A123" t="s">
        <v>983</v>
      </c>
      <c r="B123" t="s">
        <v>984</v>
      </c>
      <c r="C123" s="3">
        <v>47897</v>
      </c>
      <c r="D123" s="3">
        <v>3</v>
      </c>
      <c r="E123" t="s">
        <v>985</v>
      </c>
      <c r="F123" t="s">
        <v>986</v>
      </c>
      <c r="G123" t="s">
        <v>984</v>
      </c>
      <c r="H123" t="s">
        <v>539</v>
      </c>
      <c r="I123" t="s">
        <v>540</v>
      </c>
      <c r="J123" t="s">
        <v>541</v>
      </c>
      <c r="K123" t="s">
        <v>987</v>
      </c>
      <c r="L123" t="s">
        <v>68</v>
      </c>
      <c r="M123" t="s">
        <v>71</v>
      </c>
      <c r="N123" t="s">
        <v>68</v>
      </c>
      <c r="O123" t="s">
        <v>543</v>
      </c>
      <c r="P123" s="4">
        <v>0.37382572752703441</v>
      </c>
      <c r="Q123" s="4">
        <v>7.9651335156690397</v>
      </c>
    </row>
    <row r="124" spans="1:17" x14ac:dyDescent="0.25">
      <c r="A124" t="s">
        <v>988</v>
      </c>
      <c r="B124" t="s">
        <v>989</v>
      </c>
      <c r="C124" s="3">
        <v>47592</v>
      </c>
      <c r="D124" s="3">
        <v>1</v>
      </c>
      <c r="E124" t="s">
        <v>990</v>
      </c>
      <c r="F124" t="s">
        <v>991</v>
      </c>
      <c r="G124" t="s">
        <v>989</v>
      </c>
      <c r="H124" t="s">
        <v>539</v>
      </c>
      <c r="I124" t="s">
        <v>540</v>
      </c>
      <c r="J124" t="s">
        <v>541</v>
      </c>
      <c r="K124" t="s">
        <v>992</v>
      </c>
      <c r="L124" t="s">
        <v>68</v>
      </c>
      <c r="M124" t="s">
        <v>71</v>
      </c>
      <c r="N124" t="s">
        <v>68</v>
      </c>
      <c r="O124" t="s">
        <v>543</v>
      </c>
      <c r="P124" s="4">
        <v>0</v>
      </c>
      <c r="Q124" s="4">
        <v>6.2067784501596908</v>
      </c>
    </row>
    <row r="125" spans="1:17" x14ac:dyDescent="0.25">
      <c r="A125" t="s">
        <v>993</v>
      </c>
      <c r="B125" t="s">
        <v>994</v>
      </c>
      <c r="C125" s="3">
        <v>47499</v>
      </c>
      <c r="D125" s="3">
        <v>1</v>
      </c>
      <c r="E125" t="s">
        <v>995</v>
      </c>
      <c r="F125" t="s">
        <v>996</v>
      </c>
      <c r="G125" t="s">
        <v>994</v>
      </c>
      <c r="H125" t="s">
        <v>539</v>
      </c>
      <c r="I125" t="s">
        <v>540</v>
      </c>
      <c r="J125" t="s">
        <v>541</v>
      </c>
      <c r="K125" t="s">
        <v>997</v>
      </c>
      <c r="L125" t="s">
        <v>68</v>
      </c>
      <c r="M125" t="s">
        <v>68</v>
      </c>
      <c r="N125" t="s">
        <v>68</v>
      </c>
      <c r="O125" t="s">
        <v>543</v>
      </c>
      <c r="P125" s="4">
        <v>0.9995158710111981</v>
      </c>
      <c r="Q125" s="4">
        <v>8.8966504557990689</v>
      </c>
    </row>
    <row r="126" spans="1:17" x14ac:dyDescent="0.25">
      <c r="A126" t="s">
        <v>998</v>
      </c>
      <c r="B126" t="s">
        <v>999</v>
      </c>
      <c r="C126" s="3">
        <v>47247</v>
      </c>
      <c r="D126" s="3">
        <v>2</v>
      </c>
      <c r="E126" t="s">
        <v>1000</v>
      </c>
      <c r="F126" t="s">
        <v>1001</v>
      </c>
      <c r="G126" t="s">
        <v>999</v>
      </c>
      <c r="H126" t="s">
        <v>539</v>
      </c>
      <c r="I126" t="s">
        <v>540</v>
      </c>
      <c r="J126" t="s">
        <v>541</v>
      </c>
      <c r="K126" t="s">
        <v>1002</v>
      </c>
      <c r="L126" t="s">
        <v>68</v>
      </c>
      <c r="M126" t="s">
        <v>596</v>
      </c>
      <c r="N126" t="s">
        <v>68</v>
      </c>
      <c r="O126" t="s">
        <v>543</v>
      </c>
      <c r="P126" s="4">
        <v>0</v>
      </c>
      <c r="Q126" s="4">
        <v>6.4121743179461133</v>
      </c>
    </row>
    <row r="127" spans="1:17" x14ac:dyDescent="0.25">
      <c r="A127" t="s">
        <v>1003</v>
      </c>
      <c r="B127" t="s">
        <v>1004</v>
      </c>
      <c r="C127" s="3">
        <v>45522</v>
      </c>
      <c r="D127" s="3">
        <v>3</v>
      </c>
      <c r="E127" t="s">
        <v>1005</v>
      </c>
      <c r="F127" t="s">
        <v>1006</v>
      </c>
      <c r="G127" t="s">
        <v>1004</v>
      </c>
      <c r="H127" t="s">
        <v>539</v>
      </c>
      <c r="I127" t="s">
        <v>540</v>
      </c>
      <c r="J127" t="s">
        <v>541</v>
      </c>
      <c r="K127" t="s">
        <v>1007</v>
      </c>
      <c r="L127" t="s">
        <v>68</v>
      </c>
      <c r="M127" t="s">
        <v>71</v>
      </c>
      <c r="N127" t="s">
        <v>68</v>
      </c>
      <c r="O127" t="s">
        <v>543</v>
      </c>
      <c r="P127" s="4">
        <v>0</v>
      </c>
      <c r="Q127" s="4">
        <v>6.6259610737665309</v>
      </c>
    </row>
    <row r="128" spans="1:17" x14ac:dyDescent="0.25">
      <c r="A128" t="s">
        <v>1008</v>
      </c>
      <c r="B128" t="s">
        <v>241</v>
      </c>
      <c r="C128" s="3">
        <v>43420</v>
      </c>
      <c r="D128" s="3">
        <v>1</v>
      </c>
      <c r="E128" t="s">
        <v>242</v>
      </c>
      <c r="F128" t="s">
        <v>1009</v>
      </c>
      <c r="G128" t="s">
        <v>241</v>
      </c>
      <c r="H128" t="s">
        <v>539</v>
      </c>
      <c r="I128" t="s">
        <v>540</v>
      </c>
      <c r="J128" t="s">
        <v>541</v>
      </c>
      <c r="K128" t="s">
        <v>1010</v>
      </c>
      <c r="L128" t="s">
        <v>68</v>
      </c>
      <c r="M128" t="s">
        <v>596</v>
      </c>
      <c r="N128" t="s">
        <v>68</v>
      </c>
      <c r="O128" t="s">
        <v>543</v>
      </c>
      <c r="P128" s="4">
        <v>0.1080327944360002</v>
      </c>
      <c r="Q128" s="4">
        <v>7.09076462459696</v>
      </c>
    </row>
    <row r="129" spans="1:17" x14ac:dyDescent="0.25">
      <c r="A129" t="s">
        <v>1011</v>
      </c>
      <c r="B129" t="s">
        <v>1012</v>
      </c>
      <c r="C129" s="3">
        <v>43258</v>
      </c>
      <c r="D129" s="3">
        <v>1</v>
      </c>
      <c r="E129" t="s">
        <v>1013</v>
      </c>
      <c r="F129" t="s">
        <v>1014</v>
      </c>
      <c r="G129" t="s">
        <v>1012</v>
      </c>
      <c r="H129" t="s">
        <v>539</v>
      </c>
      <c r="I129" t="s">
        <v>540</v>
      </c>
      <c r="J129" t="s">
        <v>541</v>
      </c>
      <c r="K129" t="s">
        <v>1015</v>
      </c>
      <c r="L129" t="s">
        <v>68</v>
      </c>
      <c r="M129" t="s">
        <v>71</v>
      </c>
      <c r="N129" t="s">
        <v>68</v>
      </c>
      <c r="O129" t="s">
        <v>543</v>
      </c>
      <c r="P129" s="4">
        <v>0</v>
      </c>
      <c r="Q129" s="4">
        <v>7.9653705672939106</v>
      </c>
    </row>
    <row r="130" spans="1:17" x14ac:dyDescent="0.25">
      <c r="A130" t="s">
        <v>1016</v>
      </c>
      <c r="B130" t="s">
        <v>410</v>
      </c>
      <c r="C130" s="3">
        <v>43158</v>
      </c>
      <c r="D130" s="3">
        <v>2</v>
      </c>
      <c r="E130" t="s">
        <v>1017</v>
      </c>
      <c r="F130" t="s">
        <v>1018</v>
      </c>
      <c r="G130" t="s">
        <v>410</v>
      </c>
      <c r="H130" t="s">
        <v>539</v>
      </c>
      <c r="I130" t="s">
        <v>540</v>
      </c>
      <c r="J130" t="s">
        <v>541</v>
      </c>
      <c r="K130" t="s">
        <v>1019</v>
      </c>
      <c r="L130" t="s">
        <v>68</v>
      </c>
      <c r="M130" t="s">
        <v>68</v>
      </c>
      <c r="N130" t="s">
        <v>68</v>
      </c>
      <c r="O130" t="s">
        <v>543</v>
      </c>
      <c r="P130" s="4">
        <v>0.13026251766723049</v>
      </c>
      <c r="Q130" s="4">
        <v>6.8926966031790169</v>
      </c>
    </row>
    <row r="131" spans="1:17" x14ac:dyDescent="0.25">
      <c r="A131" t="s">
        <v>1020</v>
      </c>
      <c r="B131" t="s">
        <v>236</v>
      </c>
      <c r="C131" s="3">
        <v>41838</v>
      </c>
      <c r="D131" s="3">
        <v>1</v>
      </c>
      <c r="E131" t="s">
        <v>237</v>
      </c>
      <c r="F131" t="s">
        <v>1021</v>
      </c>
      <c r="G131" t="s">
        <v>236</v>
      </c>
      <c r="H131" t="s">
        <v>539</v>
      </c>
      <c r="I131" t="s">
        <v>540</v>
      </c>
      <c r="J131" t="s">
        <v>541</v>
      </c>
      <c r="K131" t="s">
        <v>1022</v>
      </c>
      <c r="L131" t="s">
        <v>68</v>
      </c>
      <c r="M131" t="s">
        <v>596</v>
      </c>
      <c r="N131" t="s">
        <v>68</v>
      </c>
      <c r="O131" t="s">
        <v>543</v>
      </c>
      <c r="P131" s="4">
        <v>1.649178995673893E-3</v>
      </c>
      <c r="Q131" s="4">
        <v>6.5253597208279546</v>
      </c>
    </row>
    <row r="132" spans="1:17" x14ac:dyDescent="0.25">
      <c r="A132" t="s">
        <v>1023</v>
      </c>
      <c r="B132" t="s">
        <v>1024</v>
      </c>
      <c r="C132" s="3">
        <v>39777</v>
      </c>
      <c r="D132" s="3">
        <v>2</v>
      </c>
      <c r="E132" t="s">
        <v>1025</v>
      </c>
      <c r="F132" t="s">
        <v>1026</v>
      </c>
      <c r="G132" t="s">
        <v>1024</v>
      </c>
      <c r="H132" t="s">
        <v>539</v>
      </c>
      <c r="I132" t="s">
        <v>540</v>
      </c>
      <c r="J132" t="s">
        <v>541</v>
      </c>
      <c r="K132" t="s">
        <v>1027</v>
      </c>
      <c r="L132" t="s">
        <v>68</v>
      </c>
      <c r="M132" t="s">
        <v>71</v>
      </c>
      <c r="N132" t="s">
        <v>68</v>
      </c>
      <c r="O132" t="s">
        <v>543</v>
      </c>
      <c r="P132" s="4">
        <v>1.0809723723572741E-3</v>
      </c>
      <c r="Q132" s="4">
        <v>6.4932247278578066</v>
      </c>
    </row>
    <row r="133" spans="1:17" x14ac:dyDescent="0.25">
      <c r="A133" t="s">
        <v>1028</v>
      </c>
      <c r="B133" t="s">
        <v>1029</v>
      </c>
      <c r="C133" s="3">
        <v>39487</v>
      </c>
      <c r="D133" s="3">
        <v>2</v>
      </c>
      <c r="E133" t="s">
        <v>1030</v>
      </c>
      <c r="F133" t="s">
        <v>1031</v>
      </c>
      <c r="G133" t="s">
        <v>1029</v>
      </c>
      <c r="H133" t="s">
        <v>539</v>
      </c>
      <c r="I133" t="s">
        <v>540</v>
      </c>
      <c r="J133" t="s">
        <v>541</v>
      </c>
      <c r="K133" t="s">
        <v>1032</v>
      </c>
      <c r="L133" t="s">
        <v>68</v>
      </c>
      <c r="M133" t="s">
        <v>71</v>
      </c>
      <c r="N133" t="s">
        <v>68</v>
      </c>
      <c r="O133" t="s">
        <v>543</v>
      </c>
      <c r="P133" s="4">
        <v>0.17353321009850339</v>
      </c>
      <c r="Q133" s="4">
        <v>6.5168283232456252</v>
      </c>
    </row>
    <row r="134" spans="1:17" x14ac:dyDescent="0.25">
      <c r="A134" t="s">
        <v>1033</v>
      </c>
      <c r="B134" t="s">
        <v>228</v>
      </c>
      <c r="C134" s="3">
        <v>39286</v>
      </c>
      <c r="D134" s="3">
        <v>1</v>
      </c>
      <c r="E134" t="s">
        <v>229</v>
      </c>
      <c r="F134" t="s">
        <v>1034</v>
      </c>
      <c r="G134" t="s">
        <v>228</v>
      </c>
      <c r="H134" t="s">
        <v>539</v>
      </c>
      <c r="I134" t="s">
        <v>540</v>
      </c>
      <c r="J134" t="s">
        <v>541</v>
      </c>
      <c r="K134" t="s">
        <v>1035</v>
      </c>
      <c r="L134" t="s">
        <v>68</v>
      </c>
      <c r="M134" t="s">
        <v>831</v>
      </c>
      <c r="N134" t="s">
        <v>68</v>
      </c>
      <c r="O134" t="s">
        <v>543</v>
      </c>
      <c r="P134" s="4">
        <v>6.5667235103973121E-3</v>
      </c>
      <c r="Q134" s="4">
        <v>6.3332739398258919</v>
      </c>
    </row>
    <row r="135" spans="1:17" x14ac:dyDescent="0.25">
      <c r="A135" t="s">
        <v>1036</v>
      </c>
      <c r="B135" t="s">
        <v>487</v>
      </c>
      <c r="C135" s="3">
        <v>39202</v>
      </c>
      <c r="D135" s="3">
        <v>17</v>
      </c>
      <c r="E135" t="s">
        <v>1037</v>
      </c>
      <c r="F135" t="s">
        <v>1038</v>
      </c>
      <c r="G135" t="s">
        <v>487</v>
      </c>
      <c r="H135" t="s">
        <v>539</v>
      </c>
      <c r="I135" t="s">
        <v>540</v>
      </c>
      <c r="J135" t="s">
        <v>541</v>
      </c>
      <c r="K135" t="s">
        <v>1039</v>
      </c>
      <c r="L135" t="s">
        <v>68</v>
      </c>
      <c r="M135" t="s">
        <v>73</v>
      </c>
      <c r="N135" t="s">
        <v>68</v>
      </c>
      <c r="O135" t="s">
        <v>543</v>
      </c>
      <c r="P135" s="4">
        <v>5.6930061725246138E-2</v>
      </c>
      <c r="Q135" s="4">
        <v>6.4617111371868781</v>
      </c>
    </row>
    <row r="136" spans="1:17" x14ac:dyDescent="0.25">
      <c r="A136" t="s">
        <v>1040</v>
      </c>
      <c r="B136" t="s">
        <v>1041</v>
      </c>
      <c r="C136" s="3">
        <v>39124</v>
      </c>
      <c r="D136" s="3">
        <v>1</v>
      </c>
      <c r="E136" t="s">
        <v>1042</v>
      </c>
      <c r="F136" t="s">
        <v>1043</v>
      </c>
      <c r="G136" t="s">
        <v>1041</v>
      </c>
      <c r="H136" t="s">
        <v>539</v>
      </c>
      <c r="I136" t="s">
        <v>540</v>
      </c>
      <c r="J136" t="s">
        <v>541</v>
      </c>
      <c r="K136" t="s">
        <v>1044</v>
      </c>
      <c r="L136" t="s">
        <v>68</v>
      </c>
      <c r="M136" t="s">
        <v>927</v>
      </c>
      <c r="N136" t="s">
        <v>68</v>
      </c>
      <c r="O136" t="s">
        <v>543</v>
      </c>
      <c r="P136" s="4">
        <v>0.10588866738230331</v>
      </c>
      <c r="Q136" s="4">
        <v>8.5046263163275739</v>
      </c>
    </row>
    <row r="137" spans="1:17" x14ac:dyDescent="0.25">
      <c r="A137" t="s">
        <v>1045</v>
      </c>
      <c r="B137" t="s">
        <v>1046</v>
      </c>
      <c r="C137" s="3">
        <v>39114</v>
      </c>
      <c r="D137" s="3">
        <v>2</v>
      </c>
      <c r="E137" t="s">
        <v>1047</v>
      </c>
      <c r="F137" t="s">
        <v>1048</v>
      </c>
      <c r="G137" t="s">
        <v>1046</v>
      </c>
      <c r="H137" t="s">
        <v>539</v>
      </c>
      <c r="I137" t="s">
        <v>540</v>
      </c>
      <c r="J137" t="s">
        <v>541</v>
      </c>
      <c r="K137" t="s">
        <v>1049</v>
      </c>
      <c r="L137" t="s">
        <v>68</v>
      </c>
      <c r="M137" t="s">
        <v>73</v>
      </c>
      <c r="N137" t="s">
        <v>68</v>
      </c>
      <c r="O137" t="s">
        <v>543</v>
      </c>
      <c r="P137" s="4">
        <v>0.62674165921002178</v>
      </c>
      <c r="Q137" s="4">
        <v>7.3310323669274426</v>
      </c>
    </row>
    <row r="138" spans="1:17" x14ac:dyDescent="0.25">
      <c r="A138" t="s">
        <v>1050</v>
      </c>
      <c r="B138" t="s">
        <v>1051</v>
      </c>
      <c r="C138" s="3">
        <v>38372</v>
      </c>
      <c r="D138" s="3">
        <v>3</v>
      </c>
      <c r="E138" t="s">
        <v>1052</v>
      </c>
      <c r="F138" t="s">
        <v>1053</v>
      </c>
      <c r="G138" t="s">
        <v>1051</v>
      </c>
      <c r="H138" t="s">
        <v>539</v>
      </c>
      <c r="I138" t="s">
        <v>540</v>
      </c>
      <c r="J138" t="s">
        <v>541</v>
      </c>
      <c r="K138" t="s">
        <v>1054</v>
      </c>
      <c r="L138" t="s">
        <v>68</v>
      </c>
      <c r="M138" t="s">
        <v>72</v>
      </c>
      <c r="N138" t="s">
        <v>68</v>
      </c>
      <c r="O138" t="s">
        <v>543</v>
      </c>
      <c r="P138" s="4">
        <v>0</v>
      </c>
      <c r="Q138" s="4">
        <v>6.3743354529344316</v>
      </c>
    </row>
    <row r="139" spans="1:17" x14ac:dyDescent="0.25">
      <c r="A139" t="s">
        <v>1055</v>
      </c>
      <c r="B139" t="s">
        <v>1056</v>
      </c>
      <c r="C139" s="3">
        <v>37971</v>
      </c>
      <c r="D139" s="3">
        <v>1</v>
      </c>
      <c r="E139" t="s">
        <v>1057</v>
      </c>
      <c r="F139" t="s">
        <v>1058</v>
      </c>
      <c r="G139" t="s">
        <v>1056</v>
      </c>
      <c r="H139" t="s">
        <v>539</v>
      </c>
      <c r="I139" t="s">
        <v>540</v>
      </c>
      <c r="J139" t="s">
        <v>541</v>
      </c>
      <c r="K139" t="s">
        <v>1059</v>
      </c>
      <c r="L139" t="s">
        <v>68</v>
      </c>
      <c r="M139" t="s">
        <v>68</v>
      </c>
      <c r="N139" t="s">
        <v>68</v>
      </c>
      <c r="O139" t="s">
        <v>543</v>
      </c>
      <c r="P139" s="4">
        <v>0</v>
      </c>
      <c r="Q139" s="4">
        <v>6.8250243606963208</v>
      </c>
    </row>
    <row r="140" spans="1:17" x14ac:dyDescent="0.25">
      <c r="A140" t="s">
        <v>1060</v>
      </c>
      <c r="B140" t="s">
        <v>1061</v>
      </c>
      <c r="C140" s="3">
        <v>37605</v>
      </c>
      <c r="D140" s="3">
        <v>4</v>
      </c>
      <c r="E140" t="s">
        <v>1062</v>
      </c>
      <c r="F140" t="s">
        <v>1063</v>
      </c>
      <c r="G140" t="s">
        <v>1061</v>
      </c>
      <c r="H140" t="s">
        <v>539</v>
      </c>
      <c r="I140" t="s">
        <v>540</v>
      </c>
      <c r="J140" t="s">
        <v>541</v>
      </c>
      <c r="K140" t="s">
        <v>1064</v>
      </c>
      <c r="L140" t="s">
        <v>68</v>
      </c>
      <c r="M140" t="s">
        <v>71</v>
      </c>
      <c r="N140" t="s">
        <v>68</v>
      </c>
      <c r="O140" t="s">
        <v>543</v>
      </c>
      <c r="P140" s="4">
        <v>1.395979578813018E-2</v>
      </c>
      <c r="Q140" s="4">
        <v>8.1848424411647382</v>
      </c>
    </row>
    <row r="141" spans="1:17" x14ac:dyDescent="0.25">
      <c r="A141" t="s">
        <v>1065</v>
      </c>
      <c r="B141" t="s">
        <v>245</v>
      </c>
      <c r="C141" s="3">
        <v>37547</v>
      </c>
      <c r="D141" s="3">
        <v>4</v>
      </c>
      <c r="E141" t="s">
        <v>1066</v>
      </c>
      <c r="F141" t="s">
        <v>1067</v>
      </c>
      <c r="G141" t="s">
        <v>245</v>
      </c>
      <c r="H141" t="s">
        <v>539</v>
      </c>
      <c r="I141" t="s">
        <v>540</v>
      </c>
      <c r="J141" t="s">
        <v>541</v>
      </c>
      <c r="K141" t="s">
        <v>1068</v>
      </c>
      <c r="L141" t="s">
        <v>68</v>
      </c>
      <c r="M141" t="s">
        <v>71</v>
      </c>
      <c r="N141" t="s">
        <v>68</v>
      </c>
      <c r="O141" t="s">
        <v>543</v>
      </c>
      <c r="P141" s="4">
        <v>0</v>
      </c>
      <c r="Q141" s="4">
        <v>7.1846485737875199</v>
      </c>
    </row>
    <row r="142" spans="1:17" x14ac:dyDescent="0.25">
      <c r="A142" t="s">
        <v>1069</v>
      </c>
      <c r="B142" t="s">
        <v>1070</v>
      </c>
      <c r="C142" s="3">
        <v>36514</v>
      </c>
      <c r="D142" s="3">
        <v>2</v>
      </c>
      <c r="E142" t="s">
        <v>1071</v>
      </c>
      <c r="F142" t="s">
        <v>1072</v>
      </c>
      <c r="G142" t="s">
        <v>1070</v>
      </c>
      <c r="H142" t="s">
        <v>539</v>
      </c>
      <c r="I142" t="s">
        <v>540</v>
      </c>
      <c r="J142" t="s">
        <v>541</v>
      </c>
      <c r="K142" t="s">
        <v>1073</v>
      </c>
      <c r="L142" t="s">
        <v>68</v>
      </c>
      <c r="M142" t="s">
        <v>74</v>
      </c>
      <c r="N142" t="s">
        <v>68</v>
      </c>
      <c r="O142" t="s">
        <v>543</v>
      </c>
      <c r="P142" s="4">
        <v>0.54428195859349326</v>
      </c>
      <c r="Q142" s="4">
        <v>7.4894287122747443</v>
      </c>
    </row>
    <row r="143" spans="1:17" x14ac:dyDescent="0.25">
      <c r="A143" t="s">
        <v>1074</v>
      </c>
      <c r="B143" t="s">
        <v>1075</v>
      </c>
      <c r="C143" s="3">
        <v>35858</v>
      </c>
      <c r="D143" s="3">
        <v>5</v>
      </c>
      <c r="E143" t="s">
        <v>1076</v>
      </c>
      <c r="F143" t="s">
        <v>1077</v>
      </c>
      <c r="G143" t="s">
        <v>1075</v>
      </c>
      <c r="H143" t="s">
        <v>539</v>
      </c>
      <c r="I143" t="s">
        <v>540</v>
      </c>
      <c r="J143" t="s">
        <v>541</v>
      </c>
      <c r="K143" t="s">
        <v>1078</v>
      </c>
      <c r="L143" t="s">
        <v>68</v>
      </c>
      <c r="M143" t="s">
        <v>71</v>
      </c>
      <c r="N143" t="s">
        <v>68</v>
      </c>
      <c r="O143" t="s">
        <v>543</v>
      </c>
      <c r="P143" s="4">
        <v>2.838817624093698E-2</v>
      </c>
      <c r="Q143" s="4">
        <v>8.1264153048134311</v>
      </c>
    </row>
    <row r="144" spans="1:17" x14ac:dyDescent="0.25">
      <c r="A144" t="s">
        <v>1079</v>
      </c>
      <c r="B144" t="s">
        <v>345</v>
      </c>
      <c r="C144" s="3">
        <v>35278</v>
      </c>
      <c r="D144" s="3">
        <v>2</v>
      </c>
      <c r="E144" t="s">
        <v>1080</v>
      </c>
      <c r="F144" t="s">
        <v>1081</v>
      </c>
      <c r="G144" t="s">
        <v>345</v>
      </c>
      <c r="H144" t="s">
        <v>539</v>
      </c>
      <c r="I144" t="s">
        <v>540</v>
      </c>
      <c r="J144" t="s">
        <v>541</v>
      </c>
      <c r="K144" t="s">
        <v>1082</v>
      </c>
      <c r="L144" t="s">
        <v>68</v>
      </c>
      <c r="M144" t="s">
        <v>71</v>
      </c>
      <c r="N144" t="s">
        <v>68</v>
      </c>
      <c r="O144" t="s">
        <v>543</v>
      </c>
      <c r="P144" s="4">
        <v>0</v>
      </c>
      <c r="Q144" s="4">
        <v>6.65516752650377</v>
      </c>
    </row>
    <row r="145" spans="1:17" x14ac:dyDescent="0.25">
      <c r="A145" t="s">
        <v>1083</v>
      </c>
      <c r="B145" t="s">
        <v>421</v>
      </c>
      <c r="C145" s="3">
        <v>34286</v>
      </c>
      <c r="D145" s="3">
        <v>2</v>
      </c>
      <c r="E145" t="s">
        <v>423</v>
      </c>
      <c r="F145" t="s">
        <v>1084</v>
      </c>
      <c r="G145" t="s">
        <v>421</v>
      </c>
      <c r="H145" t="s">
        <v>643</v>
      </c>
      <c r="I145" t="s">
        <v>540</v>
      </c>
      <c r="J145" t="s">
        <v>541</v>
      </c>
      <c r="K145" t="s">
        <v>1085</v>
      </c>
      <c r="L145" t="s">
        <v>68</v>
      </c>
      <c r="M145" t="s">
        <v>74</v>
      </c>
      <c r="N145" t="s">
        <v>68</v>
      </c>
      <c r="O145" t="s">
        <v>543</v>
      </c>
      <c r="P145" s="4">
        <v>0</v>
      </c>
      <c r="Q145" s="4">
        <v>6.9076299364171962</v>
      </c>
    </row>
    <row r="146" spans="1:17" x14ac:dyDescent="0.25">
      <c r="A146" t="s">
        <v>1086</v>
      </c>
      <c r="B146" t="s">
        <v>414</v>
      </c>
      <c r="C146" s="3">
        <v>33622</v>
      </c>
      <c r="D146" s="3">
        <v>2</v>
      </c>
      <c r="E146" t="s">
        <v>415</v>
      </c>
      <c r="F146" t="s">
        <v>1087</v>
      </c>
      <c r="G146" t="s">
        <v>414</v>
      </c>
      <c r="H146" t="s">
        <v>539</v>
      </c>
      <c r="I146" t="s">
        <v>540</v>
      </c>
      <c r="J146" t="s">
        <v>541</v>
      </c>
      <c r="K146" t="s">
        <v>1088</v>
      </c>
      <c r="L146" t="s">
        <v>68</v>
      </c>
      <c r="M146" t="s">
        <v>71</v>
      </c>
      <c r="N146" t="s">
        <v>68</v>
      </c>
      <c r="O146" t="s">
        <v>543</v>
      </c>
      <c r="P146" s="4">
        <v>0</v>
      </c>
      <c r="Q146" s="4">
        <v>6.0068110165962763</v>
      </c>
    </row>
    <row r="147" spans="1:17" x14ac:dyDescent="0.25">
      <c r="A147" t="s">
        <v>1089</v>
      </c>
      <c r="B147" t="s">
        <v>424</v>
      </c>
      <c r="C147" s="3">
        <v>33479</v>
      </c>
      <c r="D147" s="3">
        <v>1</v>
      </c>
      <c r="E147" t="s">
        <v>425</v>
      </c>
      <c r="F147" t="s">
        <v>1090</v>
      </c>
      <c r="G147" t="s">
        <v>424</v>
      </c>
      <c r="H147" t="s">
        <v>539</v>
      </c>
      <c r="I147" t="s">
        <v>540</v>
      </c>
      <c r="J147" t="s">
        <v>541</v>
      </c>
      <c r="K147" t="s">
        <v>1091</v>
      </c>
      <c r="L147" t="s">
        <v>68</v>
      </c>
      <c r="M147" t="s">
        <v>927</v>
      </c>
      <c r="N147" t="s">
        <v>68</v>
      </c>
      <c r="O147" t="s">
        <v>543</v>
      </c>
      <c r="P147" s="4">
        <v>0</v>
      </c>
      <c r="Q147" s="4">
        <v>5.5904895606200906</v>
      </c>
    </row>
    <row r="148" spans="1:17" x14ac:dyDescent="0.25">
      <c r="A148" t="s">
        <v>1092</v>
      </c>
      <c r="B148" t="s">
        <v>185</v>
      </c>
      <c r="C148" s="3">
        <v>33135</v>
      </c>
      <c r="D148" s="3">
        <v>1</v>
      </c>
      <c r="E148" t="s">
        <v>186</v>
      </c>
      <c r="F148" t="s">
        <v>1093</v>
      </c>
      <c r="G148" t="s">
        <v>185</v>
      </c>
      <c r="H148" t="s">
        <v>539</v>
      </c>
      <c r="I148" t="s">
        <v>540</v>
      </c>
      <c r="J148" t="s">
        <v>541</v>
      </c>
      <c r="K148" t="s">
        <v>1094</v>
      </c>
      <c r="L148" t="s">
        <v>68</v>
      </c>
      <c r="M148" t="s">
        <v>72</v>
      </c>
      <c r="N148" t="s">
        <v>68</v>
      </c>
      <c r="O148" t="s">
        <v>543</v>
      </c>
      <c r="P148" s="4">
        <v>0</v>
      </c>
      <c r="Q148" s="4">
        <v>5.7881997887430208</v>
      </c>
    </row>
    <row r="149" spans="1:17" x14ac:dyDescent="0.25">
      <c r="A149" t="s">
        <v>1095</v>
      </c>
      <c r="B149" t="s">
        <v>161</v>
      </c>
      <c r="C149" s="3">
        <v>31757</v>
      </c>
      <c r="D149" s="3">
        <v>1</v>
      </c>
      <c r="E149" t="s">
        <v>162</v>
      </c>
      <c r="F149" t="s">
        <v>1096</v>
      </c>
      <c r="G149" t="s">
        <v>161</v>
      </c>
      <c r="H149" t="s">
        <v>539</v>
      </c>
      <c r="I149" t="s">
        <v>540</v>
      </c>
      <c r="J149" t="s">
        <v>541</v>
      </c>
      <c r="K149" t="s">
        <v>1097</v>
      </c>
      <c r="L149" t="s">
        <v>68</v>
      </c>
      <c r="M149" t="s">
        <v>1098</v>
      </c>
      <c r="N149" t="s">
        <v>68</v>
      </c>
      <c r="O149" t="s">
        <v>543</v>
      </c>
      <c r="P149" s="4">
        <v>2.2041690282763399E-4</v>
      </c>
      <c r="Q149" s="4">
        <v>6.5397550146424406</v>
      </c>
    </row>
    <row r="150" spans="1:17" x14ac:dyDescent="0.25">
      <c r="A150" t="s">
        <v>1099</v>
      </c>
      <c r="B150" t="s">
        <v>282</v>
      </c>
      <c r="C150" s="3">
        <v>31234</v>
      </c>
      <c r="D150" s="3">
        <v>1</v>
      </c>
      <c r="E150" t="s">
        <v>283</v>
      </c>
      <c r="F150" t="s">
        <v>1100</v>
      </c>
      <c r="G150" t="s">
        <v>282</v>
      </c>
      <c r="H150" t="s">
        <v>539</v>
      </c>
      <c r="I150" t="s">
        <v>540</v>
      </c>
      <c r="J150" t="s">
        <v>541</v>
      </c>
      <c r="K150" t="s">
        <v>1101</v>
      </c>
      <c r="L150" t="s">
        <v>68</v>
      </c>
      <c r="M150" t="s">
        <v>73</v>
      </c>
      <c r="N150" t="s">
        <v>68</v>
      </c>
      <c r="O150" t="s">
        <v>543</v>
      </c>
      <c r="P150" s="4">
        <v>0</v>
      </c>
      <c r="Q150" s="4">
        <v>6.2783825318563107</v>
      </c>
    </row>
    <row r="151" spans="1:17" x14ac:dyDescent="0.25">
      <c r="A151" t="s">
        <v>1102</v>
      </c>
      <c r="B151" t="s">
        <v>278</v>
      </c>
      <c r="C151" s="3">
        <v>30115</v>
      </c>
      <c r="D151" s="3">
        <v>1</v>
      </c>
      <c r="E151" t="s">
        <v>279</v>
      </c>
      <c r="F151" t="s">
        <v>1103</v>
      </c>
      <c r="G151" t="s">
        <v>278</v>
      </c>
      <c r="H151" t="s">
        <v>539</v>
      </c>
      <c r="I151" t="s">
        <v>540</v>
      </c>
      <c r="J151" t="s">
        <v>541</v>
      </c>
      <c r="K151" t="s">
        <v>1104</v>
      </c>
      <c r="L151" t="s">
        <v>68</v>
      </c>
      <c r="M151" t="s">
        <v>68</v>
      </c>
      <c r="N151" t="s">
        <v>68</v>
      </c>
      <c r="O151" t="s">
        <v>543</v>
      </c>
      <c r="P151" s="4">
        <v>0</v>
      </c>
      <c r="Q151" s="4">
        <v>6.6115224970944713</v>
      </c>
    </row>
    <row r="152" spans="1:17" x14ac:dyDescent="0.25">
      <c r="A152" t="s">
        <v>1105</v>
      </c>
      <c r="B152" t="s">
        <v>397</v>
      </c>
      <c r="C152" s="3">
        <v>29346</v>
      </c>
      <c r="D152" s="3">
        <v>1</v>
      </c>
      <c r="E152" t="s">
        <v>398</v>
      </c>
      <c r="F152" t="s">
        <v>1106</v>
      </c>
      <c r="G152" t="s">
        <v>397</v>
      </c>
      <c r="H152" t="s">
        <v>539</v>
      </c>
      <c r="I152" t="s">
        <v>540</v>
      </c>
      <c r="J152" t="s">
        <v>541</v>
      </c>
      <c r="K152" t="s">
        <v>1107</v>
      </c>
      <c r="L152" t="s">
        <v>68</v>
      </c>
      <c r="M152" t="s">
        <v>71</v>
      </c>
      <c r="N152" t="s">
        <v>68</v>
      </c>
      <c r="O152" t="s">
        <v>543</v>
      </c>
      <c r="P152" s="4">
        <v>0</v>
      </c>
      <c r="Q152" s="4">
        <v>5.9362775165269541</v>
      </c>
    </row>
    <row r="153" spans="1:17" x14ac:dyDescent="0.25">
      <c r="A153" t="s">
        <v>1108</v>
      </c>
      <c r="B153" t="s">
        <v>492</v>
      </c>
      <c r="C153" s="3">
        <v>28972</v>
      </c>
      <c r="D153" s="3">
        <v>2</v>
      </c>
      <c r="E153" t="s">
        <v>493</v>
      </c>
      <c r="F153" t="s">
        <v>1109</v>
      </c>
      <c r="G153" t="s">
        <v>492</v>
      </c>
      <c r="H153" t="s">
        <v>539</v>
      </c>
      <c r="I153" t="s">
        <v>540</v>
      </c>
      <c r="J153" t="s">
        <v>541</v>
      </c>
      <c r="K153" t="s">
        <v>1110</v>
      </c>
      <c r="L153" t="s">
        <v>68</v>
      </c>
      <c r="M153" t="s">
        <v>71</v>
      </c>
      <c r="N153" t="s">
        <v>68</v>
      </c>
      <c r="O153" t="s">
        <v>543</v>
      </c>
      <c r="P153" s="4">
        <v>0.18292893383494979</v>
      </c>
      <c r="Q153" s="4">
        <v>6.948398453679415</v>
      </c>
    </row>
    <row r="154" spans="1:17" x14ac:dyDescent="0.25">
      <c r="A154" t="s">
        <v>1111</v>
      </c>
      <c r="B154" t="s">
        <v>1112</v>
      </c>
      <c r="C154" s="3">
        <v>27036</v>
      </c>
      <c r="D154" s="3">
        <v>1</v>
      </c>
      <c r="E154" t="s">
        <v>1113</v>
      </c>
      <c r="F154" t="s">
        <v>1114</v>
      </c>
      <c r="G154" t="s">
        <v>1112</v>
      </c>
      <c r="H154" t="s">
        <v>539</v>
      </c>
      <c r="I154" t="s">
        <v>540</v>
      </c>
      <c r="J154" t="s">
        <v>541</v>
      </c>
      <c r="K154" t="s">
        <v>1115</v>
      </c>
      <c r="L154" t="s">
        <v>68</v>
      </c>
      <c r="M154" t="s">
        <v>596</v>
      </c>
      <c r="N154" t="s">
        <v>68</v>
      </c>
      <c r="O154" t="s">
        <v>543</v>
      </c>
      <c r="P154" s="4">
        <v>0</v>
      </c>
      <c r="Q154" s="4">
        <v>7.6539059032401244</v>
      </c>
    </row>
    <row r="155" spans="1:17" x14ac:dyDescent="0.25">
      <c r="A155" t="s">
        <v>1116</v>
      </c>
      <c r="B155" t="s">
        <v>300</v>
      </c>
      <c r="C155" s="3">
        <v>27013</v>
      </c>
      <c r="D155" s="3">
        <v>4</v>
      </c>
      <c r="E155" t="s">
        <v>301</v>
      </c>
      <c r="F155" t="s">
        <v>1117</v>
      </c>
      <c r="G155" t="s">
        <v>300</v>
      </c>
      <c r="H155" t="s">
        <v>539</v>
      </c>
      <c r="I155" t="s">
        <v>540</v>
      </c>
      <c r="J155" t="s">
        <v>541</v>
      </c>
      <c r="K155" t="s">
        <v>1118</v>
      </c>
      <c r="L155" t="s">
        <v>71</v>
      </c>
      <c r="M155" t="s">
        <v>74</v>
      </c>
      <c r="N155" t="s">
        <v>68</v>
      </c>
      <c r="O155" t="s">
        <v>543</v>
      </c>
      <c r="P155" s="4">
        <v>0</v>
      </c>
      <c r="Q155" s="4">
        <v>8.2850109206678262</v>
      </c>
    </row>
    <row r="156" spans="1:17" x14ac:dyDescent="0.25">
      <c r="A156" t="s">
        <v>1119</v>
      </c>
      <c r="B156" t="s">
        <v>1120</v>
      </c>
      <c r="C156" s="3">
        <v>26036</v>
      </c>
      <c r="D156" s="3">
        <v>3</v>
      </c>
      <c r="E156" t="s">
        <v>1121</v>
      </c>
      <c r="F156" t="s">
        <v>1122</v>
      </c>
      <c r="G156" t="s">
        <v>1120</v>
      </c>
      <c r="H156" t="s">
        <v>539</v>
      </c>
      <c r="I156" t="s">
        <v>540</v>
      </c>
      <c r="J156" t="s">
        <v>541</v>
      </c>
      <c r="K156" t="s">
        <v>1123</v>
      </c>
      <c r="L156" t="s">
        <v>68</v>
      </c>
      <c r="M156" t="s">
        <v>74</v>
      </c>
      <c r="N156" t="s">
        <v>68</v>
      </c>
      <c r="O156" t="s">
        <v>543</v>
      </c>
      <c r="P156" s="4">
        <v>0</v>
      </c>
      <c r="Q156" s="4">
        <v>8.0057228452911353</v>
      </c>
    </row>
    <row r="157" spans="1:17" x14ac:dyDescent="0.25">
      <c r="A157" t="s">
        <v>1124</v>
      </c>
      <c r="B157" t="s">
        <v>360</v>
      </c>
      <c r="C157" s="3">
        <v>25826</v>
      </c>
      <c r="D157" s="3">
        <v>1</v>
      </c>
      <c r="E157" t="s">
        <v>361</v>
      </c>
      <c r="F157" t="s">
        <v>1125</v>
      </c>
      <c r="G157" t="s">
        <v>360</v>
      </c>
      <c r="H157" t="s">
        <v>539</v>
      </c>
      <c r="I157" t="s">
        <v>540</v>
      </c>
      <c r="J157" t="s">
        <v>541</v>
      </c>
      <c r="K157" t="s">
        <v>1126</v>
      </c>
      <c r="L157" t="s">
        <v>68</v>
      </c>
      <c r="M157" t="s">
        <v>68</v>
      </c>
      <c r="N157" t="s">
        <v>68</v>
      </c>
      <c r="O157" t="s">
        <v>543</v>
      </c>
      <c r="P157" s="4">
        <v>0.15185070466160749</v>
      </c>
      <c r="Q157" s="4">
        <v>8.8709440099124919</v>
      </c>
    </row>
    <row r="158" spans="1:17" x14ac:dyDescent="0.25">
      <c r="A158" t="s">
        <v>1127</v>
      </c>
      <c r="B158" t="s">
        <v>203</v>
      </c>
      <c r="C158" s="3">
        <v>25661</v>
      </c>
      <c r="D158" s="3">
        <v>2</v>
      </c>
      <c r="E158" t="s">
        <v>204</v>
      </c>
      <c r="F158" t="s">
        <v>1128</v>
      </c>
      <c r="G158" t="s">
        <v>203</v>
      </c>
      <c r="H158" t="s">
        <v>643</v>
      </c>
      <c r="I158" t="s">
        <v>540</v>
      </c>
      <c r="J158" t="s">
        <v>541</v>
      </c>
      <c r="K158" t="s">
        <v>1129</v>
      </c>
      <c r="L158" t="s">
        <v>68</v>
      </c>
      <c r="M158" t="s">
        <v>741</v>
      </c>
      <c r="N158" t="s">
        <v>68</v>
      </c>
      <c r="O158" t="s">
        <v>543</v>
      </c>
      <c r="P158" s="4">
        <v>0</v>
      </c>
      <c r="Q158" s="4">
        <v>5.9139939986750321</v>
      </c>
    </row>
    <row r="159" spans="1:17" x14ac:dyDescent="0.25">
      <c r="A159" t="s">
        <v>1130</v>
      </c>
      <c r="B159" t="s">
        <v>1131</v>
      </c>
      <c r="C159" s="3">
        <v>25589</v>
      </c>
      <c r="D159" s="3">
        <v>1</v>
      </c>
      <c r="E159" t="s">
        <v>1132</v>
      </c>
      <c r="F159" t="s">
        <v>1133</v>
      </c>
      <c r="G159" t="s">
        <v>1131</v>
      </c>
      <c r="H159" t="s">
        <v>539</v>
      </c>
      <c r="I159" t="s">
        <v>540</v>
      </c>
      <c r="J159" t="s">
        <v>541</v>
      </c>
      <c r="K159" t="s">
        <v>1134</v>
      </c>
      <c r="L159" t="s">
        <v>68</v>
      </c>
      <c r="M159" t="s">
        <v>71</v>
      </c>
      <c r="N159" t="s">
        <v>68</v>
      </c>
      <c r="O159" t="s">
        <v>543</v>
      </c>
      <c r="P159" s="4">
        <v>0.48034542044388873</v>
      </c>
      <c r="Q159" s="4">
        <v>8.6977216772832069</v>
      </c>
    </row>
    <row r="160" spans="1:17" x14ac:dyDescent="0.25">
      <c r="A160" t="s">
        <v>1135</v>
      </c>
      <c r="B160" t="s">
        <v>1136</v>
      </c>
      <c r="C160" s="3">
        <v>25561</v>
      </c>
      <c r="D160" s="3">
        <v>1</v>
      </c>
      <c r="E160" t="s">
        <v>1137</v>
      </c>
      <c r="F160" t="s">
        <v>1138</v>
      </c>
      <c r="G160" t="s">
        <v>1136</v>
      </c>
      <c r="H160" t="s">
        <v>539</v>
      </c>
      <c r="I160" t="s">
        <v>540</v>
      </c>
      <c r="J160" t="s">
        <v>541</v>
      </c>
      <c r="K160" t="s">
        <v>1139</v>
      </c>
      <c r="L160" t="s">
        <v>68</v>
      </c>
      <c r="M160" t="s">
        <v>71</v>
      </c>
      <c r="N160" t="s">
        <v>68</v>
      </c>
      <c r="O160" t="s">
        <v>543</v>
      </c>
      <c r="P160" s="4">
        <v>0</v>
      </c>
      <c r="Q160" s="4">
        <v>6.5359336489182738</v>
      </c>
    </row>
    <row r="161" spans="1:17" x14ac:dyDescent="0.25">
      <c r="A161" t="s">
        <v>1140</v>
      </c>
      <c r="B161" t="s">
        <v>180</v>
      </c>
      <c r="C161" s="3">
        <v>24773</v>
      </c>
      <c r="D161" s="3">
        <v>4</v>
      </c>
      <c r="E161" t="s">
        <v>1141</v>
      </c>
      <c r="F161" t="s">
        <v>1142</v>
      </c>
      <c r="G161" t="s">
        <v>180</v>
      </c>
      <c r="H161" t="s">
        <v>539</v>
      </c>
      <c r="I161" t="s">
        <v>540</v>
      </c>
      <c r="J161" t="s">
        <v>541</v>
      </c>
      <c r="K161" t="s">
        <v>1143</v>
      </c>
      <c r="L161" t="s">
        <v>68</v>
      </c>
      <c r="M161" t="s">
        <v>72</v>
      </c>
      <c r="N161" t="s">
        <v>68</v>
      </c>
      <c r="O161" t="s">
        <v>543</v>
      </c>
      <c r="P161" s="4">
        <v>0</v>
      </c>
      <c r="Q161" s="4">
        <v>5.5664634884753559</v>
      </c>
    </row>
    <row r="162" spans="1:17" x14ac:dyDescent="0.25">
      <c r="A162" t="s">
        <v>1144</v>
      </c>
      <c r="B162" t="s">
        <v>140</v>
      </c>
      <c r="C162" s="3">
        <v>24291</v>
      </c>
      <c r="D162" s="3">
        <v>4</v>
      </c>
      <c r="E162" t="s">
        <v>1145</v>
      </c>
      <c r="F162" t="s">
        <v>1146</v>
      </c>
      <c r="G162" t="s">
        <v>140</v>
      </c>
      <c r="H162" t="s">
        <v>539</v>
      </c>
      <c r="I162" t="s">
        <v>540</v>
      </c>
      <c r="J162" t="s">
        <v>541</v>
      </c>
      <c r="K162" t="s">
        <v>1147</v>
      </c>
      <c r="L162" t="s">
        <v>68</v>
      </c>
      <c r="M162" t="s">
        <v>715</v>
      </c>
      <c r="N162" t="s">
        <v>68</v>
      </c>
      <c r="O162" t="s">
        <v>543</v>
      </c>
      <c r="P162" s="4">
        <v>0.2253416762720237</v>
      </c>
      <c r="Q162" s="4">
        <v>8.0248240088921818</v>
      </c>
    </row>
    <row r="163" spans="1:17" x14ac:dyDescent="0.25">
      <c r="A163" t="s">
        <v>1148</v>
      </c>
      <c r="B163" t="s">
        <v>1149</v>
      </c>
      <c r="C163" s="3">
        <v>23514</v>
      </c>
      <c r="D163" s="3">
        <v>11</v>
      </c>
      <c r="E163" t="s">
        <v>1150</v>
      </c>
      <c r="F163" t="s">
        <v>1151</v>
      </c>
      <c r="G163" t="s">
        <v>1149</v>
      </c>
      <c r="H163" t="s">
        <v>539</v>
      </c>
      <c r="I163" t="s">
        <v>540</v>
      </c>
      <c r="J163" t="s">
        <v>541</v>
      </c>
      <c r="K163" t="s">
        <v>1152</v>
      </c>
      <c r="L163" t="s">
        <v>68</v>
      </c>
      <c r="M163" t="s">
        <v>74</v>
      </c>
      <c r="N163" t="s">
        <v>68</v>
      </c>
      <c r="O163" t="s">
        <v>543</v>
      </c>
      <c r="P163" s="4">
        <v>0</v>
      </c>
      <c r="Q163" s="4">
        <v>7.047120864166029</v>
      </c>
    </row>
    <row r="164" spans="1:17" x14ac:dyDescent="0.25">
      <c r="A164" t="s">
        <v>1153</v>
      </c>
      <c r="B164" t="s">
        <v>1154</v>
      </c>
      <c r="C164" s="3">
        <v>22249</v>
      </c>
      <c r="D164" s="3">
        <v>1</v>
      </c>
      <c r="E164" t="s">
        <v>1155</v>
      </c>
      <c r="F164" t="s">
        <v>1156</v>
      </c>
      <c r="G164" t="s">
        <v>1154</v>
      </c>
      <c r="H164" t="s">
        <v>539</v>
      </c>
      <c r="I164" t="s">
        <v>540</v>
      </c>
      <c r="J164" t="s">
        <v>541</v>
      </c>
      <c r="K164" t="s">
        <v>1157</v>
      </c>
      <c r="L164" t="s">
        <v>68</v>
      </c>
      <c r="M164" t="s">
        <v>72</v>
      </c>
      <c r="N164" t="s">
        <v>68</v>
      </c>
      <c r="O164" t="s">
        <v>543</v>
      </c>
      <c r="P164" s="4">
        <v>5.1685393258426963E-3</v>
      </c>
      <c r="Q164" s="4">
        <v>6.6870870600925887</v>
      </c>
    </row>
    <row r="165" spans="1:17" x14ac:dyDescent="0.25">
      <c r="A165" t="s">
        <v>1158</v>
      </c>
      <c r="B165" t="s">
        <v>134</v>
      </c>
      <c r="C165" s="3">
        <v>21357</v>
      </c>
      <c r="D165" s="3">
        <v>1</v>
      </c>
      <c r="E165" t="s">
        <v>135</v>
      </c>
      <c r="F165" t="s">
        <v>1159</v>
      </c>
      <c r="G165" t="s">
        <v>134</v>
      </c>
      <c r="H165" t="s">
        <v>539</v>
      </c>
      <c r="I165" t="s">
        <v>540</v>
      </c>
      <c r="J165" t="s">
        <v>541</v>
      </c>
      <c r="K165" t="s">
        <v>1160</v>
      </c>
      <c r="L165" t="s">
        <v>68</v>
      </c>
      <c r="M165" t="s">
        <v>71</v>
      </c>
      <c r="N165" t="s">
        <v>68</v>
      </c>
      <c r="O165" t="s">
        <v>543</v>
      </c>
      <c r="P165" s="4">
        <v>9.176029962546817E-3</v>
      </c>
      <c r="Q165" s="4">
        <v>7.3909256918106472</v>
      </c>
    </row>
    <row r="166" spans="1:17" x14ac:dyDescent="0.25">
      <c r="A166" t="s">
        <v>1161</v>
      </c>
      <c r="B166" t="s">
        <v>426</v>
      </c>
      <c r="C166" s="3">
        <v>20470</v>
      </c>
      <c r="D166" s="3">
        <v>1</v>
      </c>
      <c r="E166" t="s">
        <v>427</v>
      </c>
      <c r="F166" t="s">
        <v>1162</v>
      </c>
      <c r="G166" t="s">
        <v>426</v>
      </c>
      <c r="H166" t="s">
        <v>539</v>
      </c>
      <c r="I166" t="s">
        <v>540</v>
      </c>
      <c r="J166" t="s">
        <v>541</v>
      </c>
      <c r="K166" t="s">
        <v>1163</v>
      </c>
      <c r="L166" t="s">
        <v>68</v>
      </c>
      <c r="M166" t="s">
        <v>68</v>
      </c>
      <c r="N166" t="s">
        <v>68</v>
      </c>
      <c r="O166" t="s">
        <v>543</v>
      </c>
      <c r="P166" s="4">
        <v>0</v>
      </c>
      <c r="Q166" s="4">
        <v>7.3645823155837808</v>
      </c>
    </row>
    <row r="167" spans="1:17" x14ac:dyDescent="0.25">
      <c r="A167" t="s">
        <v>1164</v>
      </c>
      <c r="B167" t="s">
        <v>499</v>
      </c>
      <c r="C167" s="3">
        <v>20198</v>
      </c>
      <c r="D167" s="3">
        <v>1</v>
      </c>
      <c r="E167" t="s">
        <v>500</v>
      </c>
      <c r="F167" t="s">
        <v>1165</v>
      </c>
      <c r="G167" t="s">
        <v>499</v>
      </c>
      <c r="H167" t="s">
        <v>539</v>
      </c>
      <c r="I167" t="s">
        <v>540</v>
      </c>
      <c r="J167" t="s">
        <v>541</v>
      </c>
      <c r="K167" t="s">
        <v>1166</v>
      </c>
      <c r="L167" t="s">
        <v>68</v>
      </c>
      <c r="M167" t="s">
        <v>71</v>
      </c>
      <c r="N167" t="s">
        <v>68</v>
      </c>
      <c r="O167" t="s">
        <v>543</v>
      </c>
      <c r="P167" s="4">
        <v>0</v>
      </c>
      <c r="Q167" s="4">
        <v>6.4561342707198737</v>
      </c>
    </row>
    <row r="168" spans="1:17" x14ac:dyDescent="0.25">
      <c r="A168" t="s">
        <v>1167</v>
      </c>
      <c r="B168" t="s">
        <v>177</v>
      </c>
      <c r="C168" s="3">
        <v>19975</v>
      </c>
      <c r="D168" s="3">
        <v>1</v>
      </c>
      <c r="E168" t="s">
        <v>178</v>
      </c>
      <c r="F168" t="s">
        <v>1168</v>
      </c>
      <c r="G168" t="s">
        <v>177</v>
      </c>
      <c r="H168" t="s">
        <v>539</v>
      </c>
      <c r="I168" t="s">
        <v>540</v>
      </c>
      <c r="J168" t="s">
        <v>541</v>
      </c>
      <c r="K168" t="s">
        <v>1169</v>
      </c>
      <c r="L168" t="s">
        <v>68</v>
      </c>
      <c r="M168" t="s">
        <v>831</v>
      </c>
      <c r="N168" t="s">
        <v>68</v>
      </c>
      <c r="O168" t="s">
        <v>543</v>
      </c>
      <c r="P168" s="4">
        <v>8.8105726872246704E-3</v>
      </c>
      <c r="Q168" s="4">
        <v>7.5077847309136416</v>
      </c>
    </row>
    <row r="169" spans="1:17" x14ac:dyDescent="0.25">
      <c r="A169" t="s">
        <v>1170</v>
      </c>
      <c r="B169" t="s">
        <v>1171</v>
      </c>
      <c r="C169" s="3">
        <v>19396</v>
      </c>
      <c r="D169" s="3">
        <v>3</v>
      </c>
      <c r="E169" t="s">
        <v>1172</v>
      </c>
      <c r="F169" t="s">
        <v>1173</v>
      </c>
      <c r="G169" t="s">
        <v>1171</v>
      </c>
      <c r="H169" t="s">
        <v>539</v>
      </c>
      <c r="I169" t="s">
        <v>540</v>
      </c>
      <c r="J169" t="s">
        <v>541</v>
      </c>
      <c r="K169" t="s">
        <v>1174</v>
      </c>
      <c r="L169" t="s">
        <v>68</v>
      </c>
      <c r="M169" t="s">
        <v>596</v>
      </c>
      <c r="N169" t="s">
        <v>68</v>
      </c>
      <c r="O169" t="s">
        <v>543</v>
      </c>
      <c r="P169" s="4">
        <v>0</v>
      </c>
      <c r="Q169" s="4">
        <v>5.3962157145803262</v>
      </c>
    </row>
    <row r="170" spans="1:17" x14ac:dyDescent="0.25">
      <c r="A170" t="s">
        <v>1175</v>
      </c>
      <c r="B170" t="s">
        <v>1176</v>
      </c>
      <c r="C170" s="3">
        <v>19227</v>
      </c>
      <c r="D170" s="3">
        <v>2</v>
      </c>
      <c r="E170" t="s">
        <v>1177</v>
      </c>
      <c r="F170" t="s">
        <v>1178</v>
      </c>
      <c r="G170" t="s">
        <v>1176</v>
      </c>
      <c r="H170" t="s">
        <v>539</v>
      </c>
      <c r="I170" t="s">
        <v>540</v>
      </c>
      <c r="J170" t="s">
        <v>541</v>
      </c>
      <c r="K170" t="s">
        <v>1179</v>
      </c>
      <c r="L170" t="s">
        <v>68</v>
      </c>
      <c r="M170" t="s">
        <v>74</v>
      </c>
      <c r="N170" t="s">
        <v>68</v>
      </c>
      <c r="O170" t="s">
        <v>543</v>
      </c>
      <c r="P170" s="4">
        <v>0</v>
      </c>
      <c r="Q170" s="4">
        <v>6.5828782441358502</v>
      </c>
    </row>
    <row r="171" spans="1:17" x14ac:dyDescent="0.25">
      <c r="A171" t="s">
        <v>1180</v>
      </c>
      <c r="B171" t="s">
        <v>1181</v>
      </c>
      <c r="C171" s="3">
        <v>18414</v>
      </c>
      <c r="D171" s="3">
        <v>1</v>
      </c>
      <c r="E171" t="s">
        <v>1182</v>
      </c>
      <c r="F171" t="s">
        <v>1183</v>
      </c>
      <c r="G171" t="s">
        <v>1181</v>
      </c>
      <c r="H171" t="s">
        <v>539</v>
      </c>
      <c r="I171" t="s">
        <v>540</v>
      </c>
      <c r="J171" t="s">
        <v>541</v>
      </c>
      <c r="K171" t="s">
        <v>1184</v>
      </c>
      <c r="L171" t="s">
        <v>68</v>
      </c>
      <c r="M171" t="s">
        <v>72</v>
      </c>
      <c r="N171" t="s">
        <v>68</v>
      </c>
      <c r="O171" t="s">
        <v>543</v>
      </c>
      <c r="P171" s="4">
        <v>0</v>
      </c>
      <c r="Q171" s="4">
        <v>7.1140979689366786</v>
      </c>
    </row>
    <row r="172" spans="1:17" x14ac:dyDescent="0.25">
      <c r="A172" t="s">
        <v>1185</v>
      </c>
      <c r="B172" t="s">
        <v>1186</v>
      </c>
      <c r="C172" s="3">
        <v>17946</v>
      </c>
      <c r="D172" s="3">
        <v>1</v>
      </c>
      <c r="E172" t="s">
        <v>1187</v>
      </c>
      <c r="F172" t="s">
        <v>1188</v>
      </c>
      <c r="G172" t="s">
        <v>1186</v>
      </c>
      <c r="H172" t="s">
        <v>539</v>
      </c>
      <c r="I172" t="s">
        <v>540</v>
      </c>
      <c r="J172" t="s">
        <v>541</v>
      </c>
      <c r="K172" t="s">
        <v>1189</v>
      </c>
      <c r="L172" t="s">
        <v>68</v>
      </c>
      <c r="M172" t="s">
        <v>68</v>
      </c>
      <c r="N172" t="s">
        <v>68</v>
      </c>
      <c r="O172" t="s">
        <v>543</v>
      </c>
      <c r="P172" s="4">
        <v>0</v>
      </c>
      <c r="Q172" s="4">
        <v>6.7517552657973923</v>
      </c>
    </row>
    <row r="173" spans="1:17" x14ac:dyDescent="0.25">
      <c r="A173" t="s">
        <v>1190</v>
      </c>
      <c r="B173" t="s">
        <v>1191</v>
      </c>
      <c r="C173" s="3">
        <v>16445</v>
      </c>
      <c r="D173" s="3">
        <v>1</v>
      </c>
      <c r="E173" t="s">
        <v>1192</v>
      </c>
      <c r="F173" t="s">
        <v>1193</v>
      </c>
      <c r="G173" t="s">
        <v>1191</v>
      </c>
      <c r="H173" t="s">
        <v>539</v>
      </c>
      <c r="I173" t="s">
        <v>540</v>
      </c>
      <c r="J173" t="s">
        <v>541</v>
      </c>
      <c r="K173" t="s">
        <v>1194</v>
      </c>
      <c r="L173" t="s">
        <v>68</v>
      </c>
      <c r="M173" t="s">
        <v>589</v>
      </c>
      <c r="N173" t="s">
        <v>68</v>
      </c>
      <c r="O173" t="s">
        <v>543</v>
      </c>
      <c r="P173" s="4">
        <v>0.22491791317037579</v>
      </c>
      <c r="Q173" s="4">
        <v>8.3094557616296747</v>
      </c>
    </row>
    <row r="174" spans="1:17" x14ac:dyDescent="0.25">
      <c r="A174" t="s">
        <v>1195</v>
      </c>
      <c r="B174" t="s">
        <v>1196</v>
      </c>
      <c r="C174" s="3">
        <v>16284</v>
      </c>
      <c r="D174" s="3">
        <v>1</v>
      </c>
      <c r="E174" t="s">
        <v>1197</v>
      </c>
      <c r="F174" t="s">
        <v>1198</v>
      </c>
      <c r="G174" t="s">
        <v>1196</v>
      </c>
      <c r="H174" t="s">
        <v>539</v>
      </c>
      <c r="I174" t="s">
        <v>540</v>
      </c>
      <c r="J174" t="s">
        <v>541</v>
      </c>
      <c r="K174" t="s">
        <v>1199</v>
      </c>
      <c r="L174" t="s">
        <v>68</v>
      </c>
      <c r="M174" t="s">
        <v>596</v>
      </c>
      <c r="N174" t="s">
        <v>68</v>
      </c>
      <c r="O174" t="s">
        <v>543</v>
      </c>
      <c r="P174" s="4">
        <v>0</v>
      </c>
      <c r="Q174" s="4">
        <v>7.1394006386637194</v>
      </c>
    </row>
    <row r="175" spans="1:17" x14ac:dyDescent="0.25">
      <c r="A175" t="s">
        <v>1200</v>
      </c>
      <c r="B175" t="s">
        <v>1201</v>
      </c>
      <c r="C175" s="3">
        <v>16163</v>
      </c>
      <c r="D175" s="3">
        <v>4</v>
      </c>
      <c r="E175" t="s">
        <v>1202</v>
      </c>
      <c r="F175" t="s">
        <v>1203</v>
      </c>
      <c r="G175" t="s">
        <v>1201</v>
      </c>
      <c r="H175" t="s">
        <v>539</v>
      </c>
      <c r="I175" t="s">
        <v>540</v>
      </c>
      <c r="J175" t="s">
        <v>541</v>
      </c>
      <c r="K175" t="s">
        <v>1204</v>
      </c>
      <c r="L175" t="s">
        <v>68</v>
      </c>
      <c r="M175" t="s">
        <v>589</v>
      </c>
      <c r="N175" t="s">
        <v>68</v>
      </c>
      <c r="O175" t="s">
        <v>543</v>
      </c>
      <c r="P175" s="4">
        <v>0</v>
      </c>
      <c r="Q175" s="4">
        <v>6.4362432716698637</v>
      </c>
    </row>
    <row r="176" spans="1:17" x14ac:dyDescent="0.25">
      <c r="A176" t="s">
        <v>1205</v>
      </c>
      <c r="B176" t="s">
        <v>357</v>
      </c>
      <c r="C176" s="3">
        <v>15766</v>
      </c>
      <c r="D176" s="3">
        <v>2</v>
      </c>
      <c r="E176" t="s">
        <v>358</v>
      </c>
      <c r="F176" t="s">
        <v>1206</v>
      </c>
      <c r="G176" t="s">
        <v>357</v>
      </c>
      <c r="H176" t="s">
        <v>539</v>
      </c>
      <c r="I176" t="s">
        <v>540</v>
      </c>
      <c r="J176" t="s">
        <v>541</v>
      </c>
      <c r="K176" t="s">
        <v>1207</v>
      </c>
      <c r="L176" t="s">
        <v>68</v>
      </c>
      <c r="M176" t="s">
        <v>71</v>
      </c>
      <c r="N176" t="s">
        <v>68</v>
      </c>
      <c r="O176" t="s">
        <v>543</v>
      </c>
      <c r="P176" s="4">
        <v>0</v>
      </c>
      <c r="Q176" s="4">
        <v>7.2595458581758212</v>
      </c>
    </row>
    <row r="177" spans="1:17" x14ac:dyDescent="0.25">
      <c r="A177" t="s">
        <v>1208</v>
      </c>
      <c r="B177" t="s">
        <v>1209</v>
      </c>
      <c r="C177" s="3">
        <v>15685</v>
      </c>
      <c r="D177" s="3">
        <v>1</v>
      </c>
      <c r="E177" t="s">
        <v>1210</v>
      </c>
      <c r="F177" t="s">
        <v>1211</v>
      </c>
      <c r="G177" t="s">
        <v>1209</v>
      </c>
      <c r="H177" t="s">
        <v>539</v>
      </c>
      <c r="I177" t="s">
        <v>540</v>
      </c>
      <c r="J177" t="s">
        <v>541</v>
      </c>
      <c r="K177" t="s">
        <v>1212</v>
      </c>
      <c r="L177" t="s">
        <v>68</v>
      </c>
      <c r="M177" t="s">
        <v>76</v>
      </c>
      <c r="N177" t="s">
        <v>68</v>
      </c>
      <c r="O177" t="s">
        <v>543</v>
      </c>
      <c r="P177" s="4">
        <v>0.1660822441823398</v>
      </c>
      <c r="Q177" s="4">
        <v>7.8991393050685366</v>
      </c>
    </row>
    <row r="178" spans="1:17" x14ac:dyDescent="0.25">
      <c r="A178" t="s">
        <v>1213</v>
      </c>
      <c r="B178" t="s">
        <v>1214</v>
      </c>
      <c r="C178" s="3">
        <v>15217</v>
      </c>
      <c r="D178" s="3">
        <v>4</v>
      </c>
      <c r="E178" t="s">
        <v>1215</v>
      </c>
      <c r="F178" t="s">
        <v>1216</v>
      </c>
      <c r="G178" t="s">
        <v>1214</v>
      </c>
      <c r="H178" t="s">
        <v>539</v>
      </c>
      <c r="I178" t="s">
        <v>540</v>
      </c>
      <c r="J178" t="s">
        <v>541</v>
      </c>
      <c r="K178" t="s">
        <v>1217</v>
      </c>
      <c r="L178" t="s">
        <v>68</v>
      </c>
      <c r="M178" t="s">
        <v>596</v>
      </c>
      <c r="N178" t="s">
        <v>68</v>
      </c>
      <c r="O178" t="s">
        <v>543</v>
      </c>
      <c r="P178" s="4">
        <v>0</v>
      </c>
      <c r="Q178" s="4">
        <v>7.9746993494118419</v>
      </c>
    </row>
    <row r="179" spans="1:17" x14ac:dyDescent="0.25">
      <c r="A179" t="s">
        <v>1218</v>
      </c>
      <c r="B179" t="s">
        <v>1219</v>
      </c>
      <c r="C179" s="3">
        <v>14136</v>
      </c>
      <c r="D179" s="3">
        <v>1</v>
      </c>
      <c r="E179" t="s">
        <v>1220</v>
      </c>
      <c r="F179" t="s">
        <v>1221</v>
      </c>
      <c r="G179" t="s">
        <v>1219</v>
      </c>
      <c r="H179" t="s">
        <v>539</v>
      </c>
      <c r="I179" t="s">
        <v>540</v>
      </c>
      <c r="J179" t="s">
        <v>541</v>
      </c>
      <c r="K179" t="s">
        <v>1222</v>
      </c>
      <c r="L179" t="s">
        <v>68</v>
      </c>
      <c r="M179" t="s">
        <v>72</v>
      </c>
      <c r="N179" t="s">
        <v>68</v>
      </c>
      <c r="O179" t="s">
        <v>543</v>
      </c>
      <c r="P179" s="4">
        <v>0.42536785512167508</v>
      </c>
      <c r="Q179" s="4">
        <v>9.1483446519524616</v>
      </c>
    </row>
    <row r="180" spans="1:17" x14ac:dyDescent="0.25">
      <c r="A180" t="s">
        <v>1223</v>
      </c>
      <c r="B180" t="s">
        <v>1224</v>
      </c>
      <c r="C180" s="3">
        <v>12440</v>
      </c>
      <c r="D180" s="3">
        <v>1</v>
      </c>
      <c r="E180" t="s">
        <v>1225</v>
      </c>
      <c r="F180" t="s">
        <v>1226</v>
      </c>
      <c r="G180" t="s">
        <v>1224</v>
      </c>
      <c r="H180" t="s">
        <v>539</v>
      </c>
      <c r="I180" t="s">
        <v>540</v>
      </c>
      <c r="J180" t="s">
        <v>541</v>
      </c>
      <c r="K180" t="s">
        <v>1227</v>
      </c>
      <c r="L180" t="s">
        <v>68</v>
      </c>
      <c r="M180" t="s">
        <v>73</v>
      </c>
      <c r="N180" t="s">
        <v>68</v>
      </c>
      <c r="O180" t="s">
        <v>543</v>
      </c>
      <c r="P180" s="4">
        <v>0.6739811912225705</v>
      </c>
      <c r="Q180" s="4">
        <v>9.1619774919614141</v>
      </c>
    </row>
    <row r="181" spans="1:17" x14ac:dyDescent="0.25">
      <c r="A181" t="s">
        <v>1228</v>
      </c>
      <c r="B181" t="s">
        <v>316</v>
      </c>
      <c r="C181" s="3">
        <v>12117</v>
      </c>
      <c r="D181" s="3">
        <v>1</v>
      </c>
      <c r="E181" t="s">
        <v>317</v>
      </c>
      <c r="F181" t="s">
        <v>1229</v>
      </c>
      <c r="G181" t="s">
        <v>316</v>
      </c>
      <c r="H181" t="s">
        <v>539</v>
      </c>
      <c r="I181" t="s">
        <v>540</v>
      </c>
      <c r="J181" t="s">
        <v>541</v>
      </c>
      <c r="K181" t="s">
        <v>1230</v>
      </c>
      <c r="L181" t="s">
        <v>68</v>
      </c>
      <c r="M181" t="s">
        <v>71</v>
      </c>
      <c r="N181" t="s">
        <v>68</v>
      </c>
      <c r="O181" t="s">
        <v>543</v>
      </c>
      <c r="P181" s="4">
        <v>0</v>
      </c>
      <c r="Q181" s="4">
        <v>7.6121977387142028</v>
      </c>
    </row>
    <row r="182" spans="1:17" x14ac:dyDescent="0.25">
      <c r="A182" t="s">
        <v>1231</v>
      </c>
      <c r="B182" t="s">
        <v>1232</v>
      </c>
      <c r="C182" s="3">
        <v>11671</v>
      </c>
      <c r="D182" s="3">
        <v>2</v>
      </c>
      <c r="E182" t="s">
        <v>1233</v>
      </c>
      <c r="F182" t="s">
        <v>1234</v>
      </c>
      <c r="G182" t="s">
        <v>1232</v>
      </c>
      <c r="H182" t="s">
        <v>539</v>
      </c>
      <c r="I182" t="s">
        <v>540</v>
      </c>
      <c r="J182" t="s">
        <v>541</v>
      </c>
      <c r="K182" t="s">
        <v>1235</v>
      </c>
      <c r="L182" t="s">
        <v>68</v>
      </c>
      <c r="M182" t="s">
        <v>1236</v>
      </c>
      <c r="N182" t="s">
        <v>68</v>
      </c>
      <c r="O182" t="s">
        <v>543</v>
      </c>
      <c r="P182" s="4">
        <v>0</v>
      </c>
      <c r="Q182" s="4">
        <v>7.6915431411190127</v>
      </c>
    </row>
    <row r="183" spans="1:17" x14ac:dyDescent="0.25">
      <c r="A183" t="s">
        <v>1237</v>
      </c>
      <c r="B183" t="s">
        <v>1238</v>
      </c>
      <c r="C183" s="3">
        <v>11417</v>
      </c>
      <c r="D183" s="3">
        <v>1</v>
      </c>
      <c r="E183" t="s">
        <v>1239</v>
      </c>
      <c r="F183" t="s">
        <v>1240</v>
      </c>
      <c r="G183" t="s">
        <v>1238</v>
      </c>
      <c r="H183" t="s">
        <v>539</v>
      </c>
      <c r="I183" t="s">
        <v>540</v>
      </c>
      <c r="J183" t="s">
        <v>541</v>
      </c>
      <c r="K183" t="s">
        <v>1241</v>
      </c>
      <c r="L183" t="s">
        <v>68</v>
      </c>
      <c r="M183" t="s">
        <v>71</v>
      </c>
      <c r="N183" t="s">
        <v>68</v>
      </c>
      <c r="O183" t="s">
        <v>543</v>
      </c>
      <c r="P183" s="4">
        <v>0</v>
      </c>
      <c r="Q183" s="4">
        <v>5.6196899360602606</v>
      </c>
    </row>
    <row r="184" spans="1:17" x14ac:dyDescent="0.25">
      <c r="A184" t="s">
        <v>1242</v>
      </c>
      <c r="B184" t="s">
        <v>1243</v>
      </c>
      <c r="C184" s="3">
        <v>11274</v>
      </c>
      <c r="D184" s="3">
        <v>1</v>
      </c>
      <c r="E184" t="s">
        <v>1244</v>
      </c>
      <c r="F184" t="s">
        <v>1245</v>
      </c>
      <c r="G184" t="s">
        <v>1243</v>
      </c>
      <c r="H184" t="s">
        <v>539</v>
      </c>
      <c r="I184" t="s">
        <v>540</v>
      </c>
      <c r="J184" t="s">
        <v>541</v>
      </c>
      <c r="K184" t="s">
        <v>1246</v>
      </c>
      <c r="L184" t="s">
        <v>68</v>
      </c>
      <c r="M184" t="s">
        <v>74</v>
      </c>
      <c r="N184" t="s">
        <v>68</v>
      </c>
      <c r="O184" t="s">
        <v>543</v>
      </c>
      <c r="P184" s="4">
        <v>0.40815964523281589</v>
      </c>
      <c r="Q184" s="4">
        <v>7.4388859322334584</v>
      </c>
    </row>
    <row r="185" spans="1:17" x14ac:dyDescent="0.25">
      <c r="A185" t="s">
        <v>1247</v>
      </c>
      <c r="B185" t="s">
        <v>1248</v>
      </c>
      <c r="C185" s="3">
        <v>10940</v>
      </c>
      <c r="D185" s="3">
        <v>1</v>
      </c>
      <c r="E185" t="s">
        <v>1249</v>
      </c>
      <c r="F185" t="s">
        <v>1250</v>
      </c>
      <c r="G185" t="s">
        <v>1248</v>
      </c>
      <c r="H185" t="s">
        <v>539</v>
      </c>
      <c r="I185" t="s">
        <v>540</v>
      </c>
      <c r="J185" t="s">
        <v>541</v>
      </c>
      <c r="K185" t="s">
        <v>1251</v>
      </c>
      <c r="L185" t="s">
        <v>68</v>
      </c>
      <c r="M185" t="s">
        <v>596</v>
      </c>
      <c r="N185" t="s">
        <v>68</v>
      </c>
      <c r="O185" t="s">
        <v>543</v>
      </c>
      <c r="P185" s="4">
        <v>0</v>
      </c>
      <c r="Q185" s="4">
        <v>7.6627970749542964</v>
      </c>
    </row>
    <row r="186" spans="1:17" x14ac:dyDescent="0.25">
      <c r="A186" t="s">
        <v>1252</v>
      </c>
      <c r="B186" t="s">
        <v>1253</v>
      </c>
      <c r="C186" s="3">
        <v>10886</v>
      </c>
      <c r="D186" s="3">
        <v>2</v>
      </c>
      <c r="E186" t="s">
        <v>1254</v>
      </c>
      <c r="F186" t="s">
        <v>1255</v>
      </c>
      <c r="G186" t="s">
        <v>1253</v>
      </c>
      <c r="H186" t="s">
        <v>539</v>
      </c>
      <c r="I186" t="s">
        <v>540</v>
      </c>
      <c r="J186" t="s">
        <v>541</v>
      </c>
      <c r="K186" t="s">
        <v>1256</v>
      </c>
      <c r="L186" t="s">
        <v>68</v>
      </c>
      <c r="M186" t="s">
        <v>72</v>
      </c>
      <c r="N186" t="s">
        <v>68</v>
      </c>
      <c r="O186" t="s">
        <v>543</v>
      </c>
      <c r="P186" s="4">
        <v>0</v>
      </c>
      <c r="Q186" s="4">
        <v>7.1103251883152669</v>
      </c>
    </row>
    <row r="187" spans="1:17" x14ac:dyDescent="0.25">
      <c r="A187" t="s">
        <v>1257</v>
      </c>
      <c r="B187" t="s">
        <v>467</v>
      </c>
      <c r="C187" s="3">
        <v>10269</v>
      </c>
      <c r="D187" s="3">
        <v>1</v>
      </c>
      <c r="E187" t="s">
        <v>468</v>
      </c>
      <c r="F187" t="s">
        <v>1258</v>
      </c>
      <c r="G187" t="s">
        <v>467</v>
      </c>
      <c r="H187" t="s">
        <v>539</v>
      </c>
      <c r="I187" t="s">
        <v>540</v>
      </c>
      <c r="J187" t="s">
        <v>541</v>
      </c>
      <c r="K187" t="s">
        <v>1259</v>
      </c>
      <c r="L187" t="s">
        <v>68</v>
      </c>
      <c r="M187" t="s">
        <v>72</v>
      </c>
      <c r="N187" t="s">
        <v>68</v>
      </c>
      <c r="O187" t="s">
        <v>543</v>
      </c>
      <c r="P187" s="4">
        <v>0</v>
      </c>
      <c r="Q187" s="4">
        <v>8.1435388061154939</v>
      </c>
    </row>
    <row r="188" spans="1:17" x14ac:dyDescent="0.25">
      <c r="A188" t="s">
        <v>1260</v>
      </c>
      <c r="B188" t="s">
        <v>1261</v>
      </c>
      <c r="C188" s="3">
        <v>9481</v>
      </c>
      <c r="D188" s="3">
        <v>2</v>
      </c>
      <c r="E188" t="s">
        <v>1262</v>
      </c>
      <c r="F188" t="s">
        <v>1263</v>
      </c>
      <c r="G188" t="s">
        <v>1261</v>
      </c>
      <c r="H188" t="s">
        <v>539</v>
      </c>
      <c r="I188" t="s">
        <v>540</v>
      </c>
      <c r="J188" t="s">
        <v>541</v>
      </c>
      <c r="K188" t="s">
        <v>1264</v>
      </c>
      <c r="L188" t="s">
        <v>68</v>
      </c>
      <c r="M188" t="s">
        <v>76</v>
      </c>
      <c r="N188" t="s">
        <v>68</v>
      </c>
      <c r="O188" t="s">
        <v>543</v>
      </c>
      <c r="P188" s="4">
        <v>0</v>
      </c>
      <c r="Q188" s="4">
        <v>6.0025313785465668</v>
      </c>
    </row>
    <row r="189" spans="1:17" x14ac:dyDescent="0.25">
      <c r="A189" t="s">
        <v>1265</v>
      </c>
      <c r="B189" t="s">
        <v>1266</v>
      </c>
      <c r="C189" s="3">
        <v>8254</v>
      </c>
      <c r="D189" s="3">
        <v>1</v>
      </c>
      <c r="E189" t="s">
        <v>1267</v>
      </c>
      <c r="F189" t="s">
        <v>1268</v>
      </c>
      <c r="G189" t="s">
        <v>1266</v>
      </c>
      <c r="H189" t="s">
        <v>539</v>
      </c>
      <c r="I189" t="s">
        <v>540</v>
      </c>
      <c r="J189" t="s">
        <v>541</v>
      </c>
      <c r="K189" t="s">
        <v>1269</v>
      </c>
      <c r="L189" t="s">
        <v>68</v>
      </c>
      <c r="M189" t="s">
        <v>74</v>
      </c>
      <c r="N189" t="s">
        <v>68</v>
      </c>
      <c r="O189" t="s">
        <v>543</v>
      </c>
      <c r="P189" s="4">
        <v>0</v>
      </c>
      <c r="Q189" s="4">
        <v>6.5324691058880546</v>
      </c>
    </row>
    <row r="190" spans="1:17" x14ac:dyDescent="0.25">
      <c r="A190" t="s">
        <v>1270</v>
      </c>
      <c r="B190" t="s">
        <v>1271</v>
      </c>
      <c r="C190" s="3">
        <v>8026</v>
      </c>
      <c r="D190" s="3">
        <v>1</v>
      </c>
      <c r="E190" t="s">
        <v>1272</v>
      </c>
      <c r="F190" t="s">
        <v>1273</v>
      </c>
      <c r="G190" t="s">
        <v>1271</v>
      </c>
      <c r="H190" t="s">
        <v>539</v>
      </c>
      <c r="I190" t="s">
        <v>540</v>
      </c>
      <c r="J190" t="s">
        <v>541</v>
      </c>
      <c r="K190" t="s">
        <v>1274</v>
      </c>
      <c r="L190" t="s">
        <v>68</v>
      </c>
      <c r="M190" t="s">
        <v>71</v>
      </c>
      <c r="N190" t="s">
        <v>68</v>
      </c>
      <c r="O190" t="s">
        <v>543</v>
      </c>
      <c r="P190" s="4">
        <v>0</v>
      </c>
      <c r="Q190" s="4">
        <v>7.747944181410416</v>
      </c>
    </row>
    <row r="191" spans="1:17" x14ac:dyDescent="0.25">
      <c r="A191" t="s">
        <v>1275</v>
      </c>
      <c r="B191" t="s">
        <v>516</v>
      </c>
      <c r="C191" s="3">
        <v>7877</v>
      </c>
      <c r="D191" s="3">
        <v>2</v>
      </c>
      <c r="E191" t="s">
        <v>1276</v>
      </c>
      <c r="F191" t="s">
        <v>1277</v>
      </c>
      <c r="G191" t="s">
        <v>516</v>
      </c>
      <c r="H191" t="s">
        <v>539</v>
      </c>
      <c r="I191" t="s">
        <v>540</v>
      </c>
      <c r="J191" t="s">
        <v>541</v>
      </c>
      <c r="K191" t="s">
        <v>1278</v>
      </c>
      <c r="L191" t="s">
        <v>68</v>
      </c>
      <c r="M191" t="s">
        <v>74</v>
      </c>
      <c r="N191" t="s">
        <v>68</v>
      </c>
      <c r="O191" t="s">
        <v>543</v>
      </c>
      <c r="P191" s="4">
        <v>0</v>
      </c>
      <c r="Q191" s="4">
        <v>6.1795099657229908</v>
      </c>
    </row>
    <row r="192" spans="1:17" x14ac:dyDescent="0.25">
      <c r="A192" t="s">
        <v>1279</v>
      </c>
      <c r="B192" t="s">
        <v>1280</v>
      </c>
      <c r="C192" s="3">
        <v>7343</v>
      </c>
      <c r="D192" s="3">
        <v>1</v>
      </c>
      <c r="E192" t="s">
        <v>1281</v>
      </c>
      <c r="F192" t="s">
        <v>1282</v>
      </c>
      <c r="G192" t="s">
        <v>1280</v>
      </c>
      <c r="H192" t="s">
        <v>539</v>
      </c>
      <c r="I192" t="s">
        <v>540</v>
      </c>
      <c r="J192" t="s">
        <v>541</v>
      </c>
      <c r="K192" t="s">
        <v>1283</v>
      </c>
      <c r="L192" t="s">
        <v>68</v>
      </c>
      <c r="M192" t="s">
        <v>71</v>
      </c>
      <c r="N192" t="s">
        <v>68</v>
      </c>
      <c r="O192" t="s">
        <v>543</v>
      </c>
      <c r="P192" s="4">
        <v>0</v>
      </c>
      <c r="Q192" s="4">
        <v>7.5748331744518591</v>
      </c>
    </row>
    <row r="193" spans="1:17" x14ac:dyDescent="0.25">
      <c r="A193" t="s">
        <v>1284</v>
      </c>
      <c r="B193" t="s">
        <v>1285</v>
      </c>
      <c r="C193" s="3">
        <v>7311</v>
      </c>
      <c r="D193" s="3">
        <v>1</v>
      </c>
      <c r="E193" t="s">
        <v>1286</v>
      </c>
      <c r="F193" t="s">
        <v>1287</v>
      </c>
      <c r="G193" t="s">
        <v>1285</v>
      </c>
      <c r="H193" t="s">
        <v>539</v>
      </c>
      <c r="I193" t="s">
        <v>540</v>
      </c>
      <c r="J193" t="s">
        <v>541</v>
      </c>
      <c r="K193" t="s">
        <v>1288</v>
      </c>
      <c r="L193" t="s">
        <v>68</v>
      </c>
      <c r="M193" t="s">
        <v>71</v>
      </c>
      <c r="N193" t="s">
        <v>68</v>
      </c>
      <c r="O193" t="s">
        <v>543</v>
      </c>
      <c r="P193" s="4">
        <v>0</v>
      </c>
      <c r="Q193" s="4">
        <v>6.5952674052797153</v>
      </c>
    </row>
    <row r="194" spans="1:17" x14ac:dyDescent="0.25">
      <c r="A194" t="s">
        <v>1289</v>
      </c>
      <c r="B194" t="s">
        <v>1290</v>
      </c>
      <c r="C194" s="3">
        <v>7166</v>
      </c>
      <c r="D194" s="3">
        <v>1</v>
      </c>
      <c r="E194" t="s">
        <v>1291</v>
      </c>
      <c r="F194" t="s">
        <v>1292</v>
      </c>
      <c r="G194" t="s">
        <v>1290</v>
      </c>
      <c r="H194" t="s">
        <v>539</v>
      </c>
      <c r="I194" t="s">
        <v>540</v>
      </c>
      <c r="J194" t="s">
        <v>541</v>
      </c>
      <c r="K194" t="s">
        <v>1293</v>
      </c>
      <c r="L194" t="s">
        <v>68</v>
      </c>
      <c r="M194" t="s">
        <v>72</v>
      </c>
      <c r="N194" t="s">
        <v>68</v>
      </c>
      <c r="O194" t="s">
        <v>543</v>
      </c>
      <c r="P194" s="4">
        <v>0</v>
      </c>
      <c r="Q194" s="4">
        <v>6.9066424783700811</v>
      </c>
    </row>
    <row r="195" spans="1:17" x14ac:dyDescent="0.25">
      <c r="A195" t="s">
        <v>1294</v>
      </c>
      <c r="B195" t="s">
        <v>1295</v>
      </c>
      <c r="C195" s="3">
        <v>7104</v>
      </c>
      <c r="D195" s="3">
        <v>1</v>
      </c>
      <c r="E195" t="s">
        <v>1296</v>
      </c>
      <c r="F195" t="s">
        <v>1297</v>
      </c>
      <c r="G195" t="s">
        <v>1295</v>
      </c>
      <c r="H195" t="s">
        <v>539</v>
      </c>
      <c r="I195" t="s">
        <v>540</v>
      </c>
      <c r="J195" t="s">
        <v>541</v>
      </c>
      <c r="K195" t="s">
        <v>1298</v>
      </c>
      <c r="L195" t="s">
        <v>68</v>
      </c>
      <c r="M195" t="s">
        <v>73</v>
      </c>
      <c r="N195" t="s">
        <v>68</v>
      </c>
      <c r="O195" t="s">
        <v>543</v>
      </c>
      <c r="P195" s="4">
        <v>0</v>
      </c>
      <c r="Q195" s="4">
        <v>6.2487331081081079</v>
      </c>
    </row>
    <row r="196" spans="1:17" x14ac:dyDescent="0.25">
      <c r="A196" t="s">
        <v>1299</v>
      </c>
      <c r="B196" t="s">
        <v>1300</v>
      </c>
      <c r="C196" s="3">
        <v>6400</v>
      </c>
      <c r="D196" s="3">
        <v>2</v>
      </c>
      <c r="E196" t="s">
        <v>1301</v>
      </c>
      <c r="F196" t="s">
        <v>1302</v>
      </c>
      <c r="G196" t="s">
        <v>1300</v>
      </c>
      <c r="H196" t="s">
        <v>643</v>
      </c>
      <c r="I196" t="s">
        <v>540</v>
      </c>
      <c r="J196" t="s">
        <v>541</v>
      </c>
      <c r="K196" t="s">
        <v>1303</v>
      </c>
      <c r="L196" t="s">
        <v>68</v>
      </c>
      <c r="M196" t="s">
        <v>76</v>
      </c>
      <c r="N196" t="s">
        <v>68</v>
      </c>
      <c r="O196" t="s">
        <v>543</v>
      </c>
      <c r="P196" s="4">
        <v>0</v>
      </c>
      <c r="Q196" s="4">
        <v>7.6329687499999999</v>
      </c>
    </row>
    <row r="197" spans="1:17" x14ac:dyDescent="0.25">
      <c r="A197" t="s">
        <v>1304</v>
      </c>
      <c r="B197" t="s">
        <v>1305</v>
      </c>
      <c r="C197" s="3">
        <v>6241</v>
      </c>
      <c r="D197" s="3">
        <v>1</v>
      </c>
      <c r="E197" t="s">
        <v>1306</v>
      </c>
      <c r="F197" t="s">
        <v>1307</v>
      </c>
      <c r="G197" t="s">
        <v>1305</v>
      </c>
      <c r="H197" t="s">
        <v>539</v>
      </c>
      <c r="I197" t="s">
        <v>540</v>
      </c>
      <c r="J197" t="s">
        <v>541</v>
      </c>
      <c r="K197" t="s">
        <v>1308</v>
      </c>
      <c r="L197" t="s">
        <v>68</v>
      </c>
      <c r="M197" t="s">
        <v>70</v>
      </c>
      <c r="N197" t="s">
        <v>68</v>
      </c>
      <c r="O197" t="s">
        <v>543</v>
      </c>
      <c r="P197" s="4">
        <v>0</v>
      </c>
      <c r="Q197" s="4">
        <v>7.6212145489504888</v>
      </c>
    </row>
    <row r="198" spans="1:17" x14ac:dyDescent="0.25">
      <c r="A198" t="s">
        <v>1309</v>
      </c>
      <c r="B198" t="s">
        <v>257</v>
      </c>
      <c r="C198" s="3">
        <v>6083</v>
      </c>
      <c r="D198" s="3">
        <v>1</v>
      </c>
      <c r="E198" t="s">
        <v>258</v>
      </c>
      <c r="F198" t="s">
        <v>1310</v>
      </c>
      <c r="G198" t="s">
        <v>257</v>
      </c>
      <c r="H198" t="s">
        <v>539</v>
      </c>
      <c r="I198" t="s">
        <v>540</v>
      </c>
      <c r="J198" t="s">
        <v>541</v>
      </c>
      <c r="K198" t="s">
        <v>1311</v>
      </c>
      <c r="L198" t="s">
        <v>68</v>
      </c>
      <c r="M198" t="s">
        <v>596</v>
      </c>
      <c r="N198" t="s">
        <v>68</v>
      </c>
      <c r="O198" t="s">
        <v>543</v>
      </c>
      <c r="P198" s="4">
        <v>0</v>
      </c>
      <c r="Q198" s="4">
        <v>6.9758342922899894</v>
      </c>
    </row>
    <row r="199" spans="1:17" x14ac:dyDescent="0.25">
      <c r="A199" t="s">
        <v>1312</v>
      </c>
      <c r="B199" t="s">
        <v>1313</v>
      </c>
      <c r="C199" s="3">
        <v>5947</v>
      </c>
      <c r="D199" s="3">
        <v>1</v>
      </c>
      <c r="E199" t="s">
        <v>1314</v>
      </c>
      <c r="F199" t="s">
        <v>1315</v>
      </c>
      <c r="G199" t="s">
        <v>1313</v>
      </c>
      <c r="H199" t="s">
        <v>539</v>
      </c>
      <c r="I199" t="s">
        <v>540</v>
      </c>
      <c r="J199" t="s">
        <v>541</v>
      </c>
      <c r="K199" t="s">
        <v>1316</v>
      </c>
      <c r="L199" t="s">
        <v>68</v>
      </c>
      <c r="M199" t="s">
        <v>73</v>
      </c>
      <c r="N199" t="s">
        <v>68</v>
      </c>
      <c r="O199" t="s">
        <v>543</v>
      </c>
      <c r="P199" s="4">
        <v>0</v>
      </c>
      <c r="Q199" s="4">
        <v>7.6791659660332936</v>
      </c>
    </row>
    <row r="200" spans="1:17" x14ac:dyDescent="0.25">
      <c r="A200" t="s">
        <v>1317</v>
      </c>
      <c r="B200" t="s">
        <v>1318</v>
      </c>
      <c r="C200" s="3">
        <v>5816</v>
      </c>
      <c r="D200" s="3">
        <v>1</v>
      </c>
      <c r="E200" t="s">
        <v>1319</v>
      </c>
      <c r="F200" t="s">
        <v>1320</v>
      </c>
      <c r="G200" t="s">
        <v>1318</v>
      </c>
      <c r="H200" t="s">
        <v>539</v>
      </c>
      <c r="I200" t="s">
        <v>540</v>
      </c>
      <c r="J200" t="s">
        <v>541</v>
      </c>
      <c r="K200" t="s">
        <v>1321</v>
      </c>
      <c r="L200" t="s">
        <v>68</v>
      </c>
      <c r="M200" t="s">
        <v>75</v>
      </c>
      <c r="N200" t="s">
        <v>68</v>
      </c>
      <c r="O200" t="s">
        <v>543</v>
      </c>
      <c r="P200" s="4">
        <v>0</v>
      </c>
      <c r="Q200" s="4">
        <v>8.8512723521320495</v>
      </c>
    </row>
    <row r="201" spans="1:17" x14ac:dyDescent="0.25">
      <c r="A201" t="s">
        <v>1322</v>
      </c>
      <c r="B201" t="s">
        <v>1323</v>
      </c>
      <c r="C201" s="3">
        <v>5572</v>
      </c>
      <c r="D201" s="3">
        <v>1</v>
      </c>
      <c r="E201" t="s">
        <v>1324</v>
      </c>
      <c r="F201" t="s">
        <v>1325</v>
      </c>
      <c r="G201" t="s">
        <v>1323</v>
      </c>
      <c r="H201" t="s">
        <v>539</v>
      </c>
      <c r="I201" t="s">
        <v>540</v>
      </c>
      <c r="J201" t="s">
        <v>541</v>
      </c>
      <c r="K201" t="s">
        <v>1326</v>
      </c>
      <c r="L201" t="s">
        <v>68</v>
      </c>
      <c r="M201" t="s">
        <v>71</v>
      </c>
      <c r="N201" t="s">
        <v>68</v>
      </c>
      <c r="O201" t="s">
        <v>543</v>
      </c>
      <c r="P201" s="4">
        <v>0</v>
      </c>
      <c r="Q201" s="4">
        <v>8.0895549174443655</v>
      </c>
    </row>
    <row r="202" spans="1:17" x14ac:dyDescent="0.25">
      <c r="A202" t="s">
        <v>1327</v>
      </c>
      <c r="B202" t="s">
        <v>1328</v>
      </c>
      <c r="C202" s="3">
        <v>3176</v>
      </c>
      <c r="D202" s="3">
        <v>3</v>
      </c>
      <c r="E202" t="s">
        <v>1329</v>
      </c>
      <c r="F202" t="s">
        <v>1330</v>
      </c>
      <c r="G202" t="s">
        <v>1328</v>
      </c>
      <c r="H202" t="s">
        <v>539</v>
      </c>
      <c r="I202" t="s">
        <v>540</v>
      </c>
      <c r="J202" t="s">
        <v>541</v>
      </c>
      <c r="K202" t="s">
        <v>1331</v>
      </c>
      <c r="L202" t="s">
        <v>68</v>
      </c>
      <c r="M202" t="s">
        <v>75</v>
      </c>
      <c r="N202" t="s">
        <v>68</v>
      </c>
      <c r="O202" t="s">
        <v>543</v>
      </c>
      <c r="P202" s="4">
        <v>0</v>
      </c>
      <c r="Q202" s="4">
        <v>6.7222921914357681</v>
      </c>
    </row>
    <row r="203" spans="1:17" x14ac:dyDescent="0.25">
      <c r="A203" t="s">
        <v>1332</v>
      </c>
      <c r="B203" t="s">
        <v>1333</v>
      </c>
      <c r="C203" s="3">
        <v>788</v>
      </c>
      <c r="D203" s="3">
        <v>1</v>
      </c>
      <c r="E203" t="s">
        <v>1334</v>
      </c>
      <c r="F203" t="s">
        <v>1335</v>
      </c>
      <c r="G203" t="s">
        <v>1333</v>
      </c>
      <c r="H203" t="s">
        <v>539</v>
      </c>
      <c r="I203" t="s">
        <v>540</v>
      </c>
      <c r="J203" t="s">
        <v>541</v>
      </c>
      <c r="K203" t="s">
        <v>1336</v>
      </c>
      <c r="L203" t="s">
        <v>68</v>
      </c>
      <c r="M203" t="s">
        <v>68</v>
      </c>
      <c r="N203" t="s">
        <v>68</v>
      </c>
      <c r="O203" t="s">
        <v>543</v>
      </c>
      <c r="P203" s="4">
        <v>9.7591888466413187E-2</v>
      </c>
      <c r="Q203" s="4">
        <v>8.6040609137055846</v>
      </c>
    </row>
    <row r="204" spans="1:17" x14ac:dyDescent="0.25">
      <c r="A204" t="s">
        <v>1337</v>
      </c>
      <c r="B204" t="s">
        <v>1338</v>
      </c>
      <c r="C204" s="3">
        <v>511</v>
      </c>
      <c r="D204" s="3">
        <v>1</v>
      </c>
      <c r="E204" t="s">
        <v>1339</v>
      </c>
      <c r="F204" t="s">
        <v>1340</v>
      </c>
      <c r="G204" t="s">
        <v>1338</v>
      </c>
      <c r="H204" t="s">
        <v>539</v>
      </c>
      <c r="I204" t="s">
        <v>540</v>
      </c>
      <c r="J204" t="s">
        <v>541</v>
      </c>
      <c r="K204" t="s">
        <v>1341</v>
      </c>
      <c r="L204" t="s">
        <v>68</v>
      </c>
      <c r="M204" t="s">
        <v>72</v>
      </c>
      <c r="N204" t="s">
        <v>68</v>
      </c>
      <c r="O204" t="s">
        <v>543</v>
      </c>
      <c r="P204" s="4">
        <v>0</v>
      </c>
      <c r="Q204" s="4">
        <v>8.5205479452054789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01"/>
  <sheetViews>
    <sheetView workbookViewId="0"/>
  </sheetViews>
  <sheetFormatPr defaultRowHeight="15" x14ac:dyDescent="0.25"/>
  <cols>
    <col min="1" max="1" width="14.42578125" customWidth="1"/>
    <col min="2" max="2" width="10.7109375" customWidth="1"/>
    <col min="3" max="4" width="50.7109375" customWidth="1"/>
    <col min="5" max="5" width="9.42578125" customWidth="1"/>
    <col min="6" max="6" width="12" customWidth="1"/>
    <col min="7" max="7" width="34.42578125" customWidth="1"/>
    <col min="8" max="8" width="8.28515625" customWidth="1"/>
    <col min="9" max="9" width="39.42578125" customWidth="1"/>
    <col min="10" max="10" width="23.28515625" customWidth="1"/>
    <col min="11" max="11" width="18.28515625" customWidth="1"/>
    <col min="12" max="12" width="22" customWidth="1"/>
  </cols>
  <sheetData>
    <row r="1" spans="1:12" x14ac:dyDescent="0.25">
      <c r="A1" s="2" t="s">
        <v>1342</v>
      </c>
      <c r="B1" s="2" t="s">
        <v>82</v>
      </c>
      <c r="C1" s="2" t="s">
        <v>83</v>
      </c>
      <c r="D1" s="2" t="s">
        <v>1343</v>
      </c>
      <c r="E1" s="2" t="s">
        <v>522</v>
      </c>
      <c r="F1" s="2" t="s">
        <v>1344</v>
      </c>
      <c r="G1" s="2" t="s">
        <v>1345</v>
      </c>
      <c r="H1" s="2" t="s">
        <v>1346</v>
      </c>
      <c r="I1" s="2" t="s">
        <v>1347</v>
      </c>
      <c r="J1" s="2" t="s">
        <v>1348</v>
      </c>
      <c r="K1" s="2" t="s">
        <v>1349</v>
      </c>
      <c r="L1" s="2" t="s">
        <v>1350</v>
      </c>
    </row>
    <row r="2" spans="1:12" x14ac:dyDescent="0.25">
      <c r="A2" t="s">
        <v>1351</v>
      </c>
      <c r="B2" t="s">
        <v>91</v>
      </c>
      <c r="C2" t="s">
        <v>163</v>
      </c>
      <c r="D2" t="s">
        <v>1352</v>
      </c>
      <c r="E2" t="s">
        <v>560</v>
      </c>
      <c r="F2" t="s">
        <v>1353</v>
      </c>
      <c r="G2" t="s">
        <v>1354</v>
      </c>
      <c r="H2" t="s">
        <v>1355</v>
      </c>
      <c r="I2" t="s">
        <v>1356</v>
      </c>
    </row>
    <row r="3" spans="1:12" x14ac:dyDescent="0.25">
      <c r="A3" t="s">
        <v>1357</v>
      </c>
      <c r="B3" t="s">
        <v>91</v>
      </c>
      <c r="C3" t="s">
        <v>664</v>
      </c>
      <c r="D3" t="s">
        <v>1358</v>
      </c>
      <c r="E3" t="s">
        <v>663</v>
      </c>
      <c r="F3" t="s">
        <v>1359</v>
      </c>
      <c r="G3" t="s">
        <v>1360</v>
      </c>
      <c r="H3" t="s">
        <v>1361</v>
      </c>
      <c r="I3" t="s">
        <v>1362</v>
      </c>
    </row>
    <row r="4" spans="1:12" x14ac:dyDescent="0.25">
      <c r="A4" t="s">
        <v>1363</v>
      </c>
      <c r="B4" t="s">
        <v>91</v>
      </c>
      <c r="C4" t="s">
        <v>149</v>
      </c>
      <c r="D4" t="s">
        <v>151</v>
      </c>
      <c r="E4" t="s">
        <v>812</v>
      </c>
      <c r="F4" t="s">
        <v>1364</v>
      </c>
      <c r="G4" t="s">
        <v>1365</v>
      </c>
      <c r="H4" t="s">
        <v>1366</v>
      </c>
      <c r="I4" t="s">
        <v>1367</v>
      </c>
    </row>
    <row r="5" spans="1:12" x14ac:dyDescent="0.25">
      <c r="A5" t="s">
        <v>1368</v>
      </c>
      <c r="B5" t="s">
        <v>91</v>
      </c>
      <c r="C5" t="s">
        <v>664</v>
      </c>
      <c r="D5" t="s">
        <v>665</v>
      </c>
      <c r="E5" t="s">
        <v>663</v>
      </c>
      <c r="F5" t="s">
        <v>1359</v>
      </c>
      <c r="G5" t="s">
        <v>1360</v>
      </c>
      <c r="H5" t="s">
        <v>1361</v>
      </c>
      <c r="I5" t="s">
        <v>1362</v>
      </c>
    </row>
    <row r="6" spans="1:12" x14ac:dyDescent="0.25">
      <c r="A6" t="s">
        <v>1369</v>
      </c>
      <c r="B6" t="s">
        <v>91</v>
      </c>
      <c r="C6" t="s">
        <v>341</v>
      </c>
      <c r="D6" t="s">
        <v>342</v>
      </c>
      <c r="E6" t="s">
        <v>600</v>
      </c>
      <c r="F6" t="s">
        <v>1370</v>
      </c>
      <c r="G6" t="s">
        <v>1371</v>
      </c>
      <c r="H6" t="s">
        <v>1372</v>
      </c>
      <c r="I6" t="s">
        <v>1373</v>
      </c>
    </row>
    <row r="7" spans="1:12" x14ac:dyDescent="0.25">
      <c r="A7" t="s">
        <v>1374</v>
      </c>
      <c r="B7" t="s">
        <v>91</v>
      </c>
      <c r="C7" t="s">
        <v>108</v>
      </c>
      <c r="D7" t="s">
        <v>109</v>
      </c>
      <c r="E7" t="s">
        <v>804</v>
      </c>
      <c r="F7" t="s">
        <v>1375</v>
      </c>
      <c r="G7" t="s">
        <v>1376</v>
      </c>
      <c r="H7" t="s">
        <v>1377</v>
      </c>
      <c r="I7" t="s">
        <v>1378</v>
      </c>
    </row>
    <row r="8" spans="1:12" x14ac:dyDescent="0.25">
      <c r="A8" t="s">
        <v>1379</v>
      </c>
      <c r="B8" t="s">
        <v>91</v>
      </c>
      <c r="C8" t="s">
        <v>808</v>
      </c>
      <c r="D8" t="s">
        <v>1380</v>
      </c>
      <c r="E8" t="s">
        <v>807</v>
      </c>
      <c r="F8" t="s">
        <v>1353</v>
      </c>
      <c r="G8" t="s">
        <v>1354</v>
      </c>
      <c r="H8" t="s">
        <v>1381</v>
      </c>
      <c r="I8" t="s">
        <v>1382</v>
      </c>
    </row>
    <row r="9" spans="1:12" x14ac:dyDescent="0.25">
      <c r="A9" t="s">
        <v>1383</v>
      </c>
      <c r="B9" t="s">
        <v>91</v>
      </c>
      <c r="C9" t="s">
        <v>149</v>
      </c>
      <c r="D9" t="s">
        <v>813</v>
      </c>
      <c r="E9" t="s">
        <v>812</v>
      </c>
      <c r="F9" t="s">
        <v>1364</v>
      </c>
      <c r="G9" t="s">
        <v>1365</v>
      </c>
      <c r="H9" t="s">
        <v>1366</v>
      </c>
      <c r="I9" t="s">
        <v>1367</v>
      </c>
    </row>
    <row r="10" spans="1:12" x14ac:dyDescent="0.25">
      <c r="A10" t="s">
        <v>1384</v>
      </c>
      <c r="B10" t="s">
        <v>91</v>
      </c>
      <c r="C10" t="s">
        <v>379</v>
      </c>
      <c r="D10" t="s">
        <v>521</v>
      </c>
      <c r="E10" t="s">
        <v>773</v>
      </c>
      <c r="F10" t="s">
        <v>1385</v>
      </c>
      <c r="G10" t="s">
        <v>1386</v>
      </c>
      <c r="H10" t="s">
        <v>1387</v>
      </c>
      <c r="I10" t="s">
        <v>1388</v>
      </c>
    </row>
    <row r="11" spans="1:12" x14ac:dyDescent="0.25">
      <c r="A11" t="s">
        <v>1389</v>
      </c>
      <c r="B11" t="s">
        <v>91</v>
      </c>
      <c r="C11" t="s">
        <v>865</v>
      </c>
      <c r="D11" t="s">
        <v>1390</v>
      </c>
      <c r="E11" t="s">
        <v>864</v>
      </c>
      <c r="F11" t="s">
        <v>1391</v>
      </c>
      <c r="G11" t="s">
        <v>1392</v>
      </c>
      <c r="H11" t="s">
        <v>1393</v>
      </c>
      <c r="I11" t="s">
        <v>1394</v>
      </c>
    </row>
    <row r="12" spans="1:12" x14ac:dyDescent="0.25">
      <c r="A12" t="s">
        <v>1395</v>
      </c>
      <c r="B12" t="s">
        <v>91</v>
      </c>
      <c r="C12" t="s">
        <v>99</v>
      </c>
      <c r="D12" t="s">
        <v>329</v>
      </c>
      <c r="E12" t="s">
        <v>733</v>
      </c>
      <c r="F12" t="s">
        <v>1396</v>
      </c>
      <c r="G12" t="s">
        <v>1397</v>
      </c>
      <c r="H12" t="s">
        <v>1398</v>
      </c>
      <c r="I12" t="s">
        <v>1397</v>
      </c>
    </row>
    <row r="13" spans="1:12" x14ac:dyDescent="0.25">
      <c r="A13" t="s">
        <v>1399</v>
      </c>
      <c r="B13" t="s">
        <v>91</v>
      </c>
      <c r="C13" t="s">
        <v>296</v>
      </c>
      <c r="D13" t="s">
        <v>386</v>
      </c>
      <c r="E13" t="s">
        <v>606</v>
      </c>
      <c r="F13" t="s">
        <v>1400</v>
      </c>
      <c r="G13" t="s">
        <v>1401</v>
      </c>
      <c r="H13" t="s">
        <v>1402</v>
      </c>
      <c r="I13" t="s">
        <v>1403</v>
      </c>
    </row>
    <row r="14" spans="1:12" x14ac:dyDescent="0.25">
      <c r="A14" t="s">
        <v>1404</v>
      </c>
      <c r="B14" t="s">
        <v>91</v>
      </c>
      <c r="C14" t="s">
        <v>1149</v>
      </c>
      <c r="D14" t="s">
        <v>1405</v>
      </c>
      <c r="E14" t="s">
        <v>1148</v>
      </c>
      <c r="F14" t="s">
        <v>1406</v>
      </c>
      <c r="G14" t="s">
        <v>1407</v>
      </c>
      <c r="H14" t="s">
        <v>1408</v>
      </c>
      <c r="I14" t="s">
        <v>1409</v>
      </c>
    </row>
    <row r="15" spans="1:12" x14ac:dyDescent="0.25">
      <c r="A15" t="s">
        <v>1410</v>
      </c>
      <c r="B15" t="s">
        <v>91</v>
      </c>
      <c r="C15" t="s">
        <v>1075</v>
      </c>
      <c r="D15" t="s">
        <v>1076</v>
      </c>
      <c r="E15" t="s">
        <v>1074</v>
      </c>
      <c r="F15" t="s">
        <v>1406</v>
      </c>
      <c r="G15" t="s">
        <v>1407</v>
      </c>
      <c r="H15" t="s">
        <v>1411</v>
      </c>
      <c r="I15" t="s">
        <v>1412</v>
      </c>
    </row>
    <row r="16" spans="1:12" x14ac:dyDescent="0.25">
      <c r="A16" t="s">
        <v>1413</v>
      </c>
      <c r="B16" t="s">
        <v>91</v>
      </c>
      <c r="C16" t="s">
        <v>348</v>
      </c>
      <c r="D16" t="s">
        <v>349</v>
      </c>
      <c r="E16" t="s">
        <v>619</v>
      </c>
      <c r="F16" t="s">
        <v>1414</v>
      </c>
      <c r="G16" t="s">
        <v>1415</v>
      </c>
      <c r="H16" t="s">
        <v>1416</v>
      </c>
      <c r="I16" t="s">
        <v>1417</v>
      </c>
    </row>
    <row r="17" spans="1:9" x14ac:dyDescent="0.25">
      <c r="A17" t="s">
        <v>1418</v>
      </c>
      <c r="B17" t="s">
        <v>91</v>
      </c>
      <c r="C17" t="s">
        <v>929</v>
      </c>
      <c r="D17" t="s">
        <v>930</v>
      </c>
      <c r="E17" t="s">
        <v>928</v>
      </c>
      <c r="F17" t="s">
        <v>1419</v>
      </c>
      <c r="G17" t="s">
        <v>1420</v>
      </c>
      <c r="H17" t="s">
        <v>1421</v>
      </c>
      <c r="I17" t="s">
        <v>1422</v>
      </c>
    </row>
    <row r="18" spans="1:9" x14ac:dyDescent="0.25">
      <c r="A18" t="s">
        <v>1423</v>
      </c>
      <c r="B18" t="s">
        <v>91</v>
      </c>
      <c r="C18" t="s">
        <v>920</v>
      </c>
      <c r="D18" t="s">
        <v>1424</v>
      </c>
      <c r="E18" t="s">
        <v>919</v>
      </c>
      <c r="F18" t="s">
        <v>1425</v>
      </c>
      <c r="G18" t="s">
        <v>1426</v>
      </c>
      <c r="H18" t="s">
        <v>1427</v>
      </c>
      <c r="I18" t="s">
        <v>1428</v>
      </c>
    </row>
    <row r="19" spans="1:9" x14ac:dyDescent="0.25">
      <c r="A19" t="s">
        <v>1429</v>
      </c>
      <c r="B19" t="s">
        <v>91</v>
      </c>
      <c r="C19" t="s">
        <v>979</v>
      </c>
      <c r="D19" t="s">
        <v>1430</v>
      </c>
      <c r="E19" t="s">
        <v>978</v>
      </c>
      <c r="F19" t="s">
        <v>1425</v>
      </c>
      <c r="G19" t="s">
        <v>1426</v>
      </c>
      <c r="H19" t="s">
        <v>1431</v>
      </c>
      <c r="I19" t="s">
        <v>1432</v>
      </c>
    </row>
    <row r="20" spans="1:9" x14ac:dyDescent="0.25">
      <c r="A20" t="s">
        <v>1433</v>
      </c>
      <c r="B20" t="s">
        <v>91</v>
      </c>
      <c r="C20" t="s">
        <v>203</v>
      </c>
      <c r="D20" t="s">
        <v>204</v>
      </c>
      <c r="E20" t="s">
        <v>1127</v>
      </c>
      <c r="F20" t="s">
        <v>1434</v>
      </c>
      <c r="G20" t="s">
        <v>1435</v>
      </c>
      <c r="H20" t="s">
        <v>1436</v>
      </c>
      <c r="I20" t="s">
        <v>1437</v>
      </c>
    </row>
    <row r="21" spans="1:9" x14ac:dyDescent="0.25">
      <c r="A21" t="s">
        <v>1438</v>
      </c>
      <c r="B21" t="s">
        <v>91</v>
      </c>
      <c r="C21" t="s">
        <v>338</v>
      </c>
      <c r="D21" t="s">
        <v>1439</v>
      </c>
      <c r="E21" t="s">
        <v>763</v>
      </c>
      <c r="F21" t="s">
        <v>1440</v>
      </c>
      <c r="G21" t="s">
        <v>1441</v>
      </c>
      <c r="H21" t="s">
        <v>1442</v>
      </c>
      <c r="I21" t="s">
        <v>1443</v>
      </c>
    </row>
    <row r="22" spans="1:9" x14ac:dyDescent="0.25">
      <c r="A22" t="s">
        <v>1444</v>
      </c>
      <c r="B22" t="s">
        <v>91</v>
      </c>
      <c r="C22" t="s">
        <v>1181</v>
      </c>
      <c r="D22" t="s">
        <v>1182</v>
      </c>
      <c r="E22" t="s">
        <v>1180</v>
      </c>
      <c r="F22" t="s">
        <v>1445</v>
      </c>
      <c r="G22" t="s">
        <v>1446</v>
      </c>
      <c r="H22" t="s">
        <v>1447</v>
      </c>
      <c r="I22" t="s">
        <v>1448</v>
      </c>
    </row>
    <row r="23" spans="1:9" x14ac:dyDescent="0.25">
      <c r="A23" t="s">
        <v>1449</v>
      </c>
      <c r="B23" t="s">
        <v>91</v>
      </c>
      <c r="C23" t="s">
        <v>143</v>
      </c>
      <c r="D23" t="s">
        <v>144</v>
      </c>
      <c r="E23" t="s">
        <v>550</v>
      </c>
      <c r="F23" t="s">
        <v>1450</v>
      </c>
      <c r="G23" t="s">
        <v>1451</v>
      </c>
      <c r="H23" t="s">
        <v>1452</v>
      </c>
      <c r="I23" t="s">
        <v>1453</v>
      </c>
    </row>
    <row r="24" spans="1:9" x14ac:dyDescent="0.25">
      <c r="A24" t="s">
        <v>1454</v>
      </c>
      <c r="B24" t="s">
        <v>91</v>
      </c>
      <c r="C24" t="s">
        <v>722</v>
      </c>
      <c r="D24" t="s">
        <v>723</v>
      </c>
      <c r="E24" t="s">
        <v>721</v>
      </c>
      <c r="F24" t="s">
        <v>1455</v>
      </c>
      <c r="G24" t="s">
        <v>1456</v>
      </c>
      <c r="H24" t="s">
        <v>1457</v>
      </c>
      <c r="I24" t="s">
        <v>1458</v>
      </c>
    </row>
    <row r="25" spans="1:9" x14ac:dyDescent="0.25">
      <c r="A25" t="s">
        <v>1459</v>
      </c>
      <c r="B25" t="s">
        <v>91</v>
      </c>
      <c r="C25" t="s">
        <v>122</v>
      </c>
      <c r="D25" t="s">
        <v>252</v>
      </c>
      <c r="E25" t="s">
        <v>537</v>
      </c>
      <c r="F25" t="s">
        <v>1450</v>
      </c>
      <c r="G25" t="s">
        <v>1451</v>
      </c>
      <c r="H25" t="s">
        <v>1452</v>
      </c>
      <c r="I25" t="s">
        <v>1453</v>
      </c>
    </row>
    <row r="26" spans="1:9" x14ac:dyDescent="0.25">
      <c r="A26" t="s">
        <v>1460</v>
      </c>
      <c r="B26" t="s">
        <v>91</v>
      </c>
      <c r="C26" t="s">
        <v>172</v>
      </c>
      <c r="D26" t="s">
        <v>173</v>
      </c>
      <c r="E26" t="s">
        <v>557</v>
      </c>
      <c r="F26" t="s">
        <v>1461</v>
      </c>
      <c r="G26" t="s">
        <v>1462</v>
      </c>
      <c r="H26" t="s">
        <v>1463</v>
      </c>
      <c r="I26" t="s">
        <v>1464</v>
      </c>
    </row>
    <row r="27" spans="1:9" x14ac:dyDescent="0.25">
      <c r="A27" t="s">
        <v>1465</v>
      </c>
      <c r="B27" t="s">
        <v>91</v>
      </c>
      <c r="C27" t="s">
        <v>1313</v>
      </c>
      <c r="D27" t="s">
        <v>1314</v>
      </c>
      <c r="E27" t="s">
        <v>1312</v>
      </c>
      <c r="F27" t="s">
        <v>1461</v>
      </c>
      <c r="G27" t="s">
        <v>1462</v>
      </c>
      <c r="H27" t="s">
        <v>1466</v>
      </c>
      <c r="I27" t="s">
        <v>1467</v>
      </c>
    </row>
    <row r="28" spans="1:9" x14ac:dyDescent="0.25">
      <c r="A28" t="s">
        <v>1468</v>
      </c>
      <c r="B28" t="s">
        <v>91</v>
      </c>
      <c r="C28" t="s">
        <v>268</v>
      </c>
      <c r="D28" t="s">
        <v>269</v>
      </c>
      <c r="E28" t="s">
        <v>547</v>
      </c>
      <c r="F28" t="s">
        <v>1461</v>
      </c>
      <c r="G28" t="s">
        <v>1462</v>
      </c>
      <c r="H28" t="s">
        <v>1469</v>
      </c>
      <c r="I28" t="s">
        <v>1470</v>
      </c>
    </row>
    <row r="29" spans="1:9" x14ac:dyDescent="0.25">
      <c r="A29" t="s">
        <v>1471</v>
      </c>
      <c r="B29" t="s">
        <v>91</v>
      </c>
      <c r="C29" t="s">
        <v>701</v>
      </c>
      <c r="D29" t="s">
        <v>702</v>
      </c>
      <c r="E29" t="s">
        <v>700</v>
      </c>
      <c r="F29" t="s">
        <v>1472</v>
      </c>
      <c r="G29" t="s">
        <v>1473</v>
      </c>
      <c r="H29" t="s">
        <v>1474</v>
      </c>
      <c r="I29" t="s">
        <v>1475</v>
      </c>
    </row>
    <row r="30" spans="1:9" x14ac:dyDescent="0.25">
      <c r="A30" t="s">
        <v>1476</v>
      </c>
      <c r="B30" t="s">
        <v>91</v>
      </c>
      <c r="C30" t="s">
        <v>161</v>
      </c>
      <c r="D30" t="s">
        <v>162</v>
      </c>
      <c r="E30" t="s">
        <v>1095</v>
      </c>
      <c r="F30" t="s">
        <v>1477</v>
      </c>
      <c r="G30" t="s">
        <v>1478</v>
      </c>
      <c r="H30" t="s">
        <v>1479</v>
      </c>
      <c r="I30" t="s">
        <v>1480</v>
      </c>
    </row>
    <row r="31" spans="1:9" x14ac:dyDescent="0.25">
      <c r="A31" t="s">
        <v>1481</v>
      </c>
      <c r="B31" t="s">
        <v>91</v>
      </c>
      <c r="C31" t="s">
        <v>1214</v>
      </c>
      <c r="D31" t="s">
        <v>1482</v>
      </c>
      <c r="E31" t="s">
        <v>1213</v>
      </c>
      <c r="F31" t="s">
        <v>1483</v>
      </c>
      <c r="G31" t="s">
        <v>1484</v>
      </c>
      <c r="H31" t="s">
        <v>1485</v>
      </c>
      <c r="I31" t="s">
        <v>1486</v>
      </c>
    </row>
    <row r="32" spans="1:9" x14ac:dyDescent="0.25">
      <c r="A32" t="s">
        <v>1487</v>
      </c>
      <c r="B32" t="s">
        <v>91</v>
      </c>
      <c r="C32" t="s">
        <v>261</v>
      </c>
      <c r="D32" t="s">
        <v>1488</v>
      </c>
      <c r="E32" t="s">
        <v>946</v>
      </c>
      <c r="F32" t="s">
        <v>1489</v>
      </c>
      <c r="G32" t="s">
        <v>1490</v>
      </c>
      <c r="H32" t="s">
        <v>1491</v>
      </c>
      <c r="I32" t="s">
        <v>1492</v>
      </c>
    </row>
    <row r="33" spans="1:9" x14ac:dyDescent="0.25">
      <c r="A33" t="s">
        <v>1493</v>
      </c>
      <c r="B33" t="s">
        <v>91</v>
      </c>
      <c r="C33" t="s">
        <v>355</v>
      </c>
      <c r="D33" t="s">
        <v>356</v>
      </c>
      <c r="E33" t="s">
        <v>668</v>
      </c>
      <c r="F33" t="s">
        <v>1494</v>
      </c>
      <c r="G33" t="s">
        <v>1495</v>
      </c>
      <c r="H33" t="s">
        <v>1496</v>
      </c>
      <c r="I33" t="s">
        <v>1497</v>
      </c>
    </row>
    <row r="34" spans="1:9" x14ac:dyDescent="0.25">
      <c r="A34" t="s">
        <v>1498</v>
      </c>
      <c r="B34" t="s">
        <v>91</v>
      </c>
      <c r="C34" t="s">
        <v>1149</v>
      </c>
      <c r="D34" t="s">
        <v>1499</v>
      </c>
      <c r="E34" t="s">
        <v>1148</v>
      </c>
    </row>
    <row r="35" spans="1:9" x14ac:dyDescent="0.25">
      <c r="A35" t="s">
        <v>1500</v>
      </c>
      <c r="B35" t="s">
        <v>91</v>
      </c>
      <c r="C35" t="s">
        <v>163</v>
      </c>
      <c r="D35" t="s">
        <v>1501</v>
      </c>
      <c r="E35" t="s">
        <v>560</v>
      </c>
      <c r="F35" t="s">
        <v>1353</v>
      </c>
      <c r="G35" t="s">
        <v>1354</v>
      </c>
      <c r="H35" t="s">
        <v>1502</v>
      </c>
      <c r="I35" t="s">
        <v>1503</v>
      </c>
    </row>
    <row r="36" spans="1:9" x14ac:dyDescent="0.25">
      <c r="A36" t="s">
        <v>1504</v>
      </c>
      <c r="B36" t="s">
        <v>91</v>
      </c>
      <c r="C36" t="s">
        <v>790</v>
      </c>
      <c r="D36" t="s">
        <v>791</v>
      </c>
      <c r="E36" t="s">
        <v>789</v>
      </c>
      <c r="F36" t="s">
        <v>1472</v>
      </c>
      <c r="G36" t="s">
        <v>1473</v>
      </c>
      <c r="H36" t="s">
        <v>1474</v>
      </c>
      <c r="I36" t="s">
        <v>1475</v>
      </c>
    </row>
    <row r="37" spans="1:9" x14ac:dyDescent="0.25">
      <c r="A37" t="s">
        <v>1505</v>
      </c>
      <c r="B37" t="s">
        <v>91</v>
      </c>
      <c r="C37" t="s">
        <v>276</v>
      </c>
      <c r="D37" t="s">
        <v>287</v>
      </c>
      <c r="E37" t="s">
        <v>896</v>
      </c>
      <c r="F37" t="s">
        <v>1506</v>
      </c>
      <c r="G37" t="s">
        <v>1507</v>
      </c>
      <c r="H37" t="s">
        <v>1508</v>
      </c>
      <c r="I37" t="s">
        <v>1509</v>
      </c>
    </row>
    <row r="38" spans="1:9" x14ac:dyDescent="0.25">
      <c r="A38" t="s">
        <v>1510</v>
      </c>
      <c r="B38" t="s">
        <v>91</v>
      </c>
      <c r="C38" t="s">
        <v>1149</v>
      </c>
      <c r="D38" t="s">
        <v>1511</v>
      </c>
      <c r="E38" t="s">
        <v>1148</v>
      </c>
    </row>
    <row r="39" spans="1:9" x14ac:dyDescent="0.25">
      <c r="A39" t="s">
        <v>1512</v>
      </c>
      <c r="B39" t="s">
        <v>91</v>
      </c>
      <c r="C39" t="s">
        <v>163</v>
      </c>
      <c r="D39" t="s">
        <v>165</v>
      </c>
      <c r="E39" t="s">
        <v>560</v>
      </c>
      <c r="F39" t="s">
        <v>1353</v>
      </c>
      <c r="G39" t="s">
        <v>1354</v>
      </c>
      <c r="H39" t="s">
        <v>1513</v>
      </c>
      <c r="I39" t="s">
        <v>1514</v>
      </c>
    </row>
    <row r="40" spans="1:9" x14ac:dyDescent="0.25">
      <c r="A40" t="s">
        <v>1515</v>
      </c>
      <c r="B40" t="s">
        <v>91</v>
      </c>
      <c r="C40" t="s">
        <v>999</v>
      </c>
      <c r="D40" t="s">
        <v>1516</v>
      </c>
      <c r="E40" t="s">
        <v>998</v>
      </c>
      <c r="F40" t="s">
        <v>1517</v>
      </c>
      <c r="G40" t="s">
        <v>1518</v>
      </c>
      <c r="H40" t="s">
        <v>1519</v>
      </c>
      <c r="I40" t="s">
        <v>1520</v>
      </c>
    </row>
    <row r="41" spans="1:9" x14ac:dyDescent="0.25">
      <c r="A41" t="s">
        <v>1521</v>
      </c>
      <c r="B41" t="s">
        <v>91</v>
      </c>
      <c r="C41" t="s">
        <v>404</v>
      </c>
      <c r="D41" t="s">
        <v>405</v>
      </c>
      <c r="E41" t="s">
        <v>841</v>
      </c>
      <c r="F41" t="s">
        <v>1522</v>
      </c>
      <c r="G41" t="s">
        <v>1523</v>
      </c>
      <c r="H41" t="s">
        <v>1524</v>
      </c>
      <c r="I41" t="s">
        <v>1525</v>
      </c>
    </row>
    <row r="42" spans="1:9" x14ac:dyDescent="0.25">
      <c r="A42" t="s">
        <v>1526</v>
      </c>
      <c r="B42" t="s">
        <v>91</v>
      </c>
      <c r="C42" t="s">
        <v>391</v>
      </c>
      <c r="D42" t="s">
        <v>392</v>
      </c>
      <c r="E42" t="s">
        <v>569</v>
      </c>
      <c r="F42" t="s">
        <v>1527</v>
      </c>
      <c r="G42" t="s">
        <v>1528</v>
      </c>
      <c r="H42" t="s">
        <v>1529</v>
      </c>
      <c r="I42" t="s">
        <v>1530</v>
      </c>
    </row>
    <row r="43" spans="1:9" x14ac:dyDescent="0.25">
      <c r="A43" t="s">
        <v>1531</v>
      </c>
      <c r="B43" t="s">
        <v>91</v>
      </c>
      <c r="C43" t="s">
        <v>1075</v>
      </c>
      <c r="D43" t="s">
        <v>1532</v>
      </c>
      <c r="E43" t="s">
        <v>1074</v>
      </c>
      <c r="F43" t="s">
        <v>1406</v>
      </c>
      <c r="G43" t="s">
        <v>1407</v>
      </c>
      <c r="H43" t="s">
        <v>1408</v>
      </c>
      <c r="I43" t="s">
        <v>1409</v>
      </c>
    </row>
    <row r="44" spans="1:9" x14ac:dyDescent="0.25">
      <c r="A44" t="s">
        <v>1533</v>
      </c>
      <c r="B44" t="s">
        <v>91</v>
      </c>
      <c r="C44" t="s">
        <v>330</v>
      </c>
      <c r="D44" t="s">
        <v>420</v>
      </c>
      <c r="E44" t="s">
        <v>832</v>
      </c>
      <c r="F44" t="s">
        <v>1534</v>
      </c>
      <c r="G44" t="s">
        <v>1535</v>
      </c>
      <c r="H44" t="s">
        <v>1536</v>
      </c>
      <c r="I44" t="s">
        <v>1537</v>
      </c>
    </row>
    <row r="45" spans="1:9" x14ac:dyDescent="0.25">
      <c r="A45" t="s">
        <v>1538</v>
      </c>
      <c r="B45" t="s">
        <v>91</v>
      </c>
      <c r="C45" t="s">
        <v>163</v>
      </c>
      <c r="D45" t="s">
        <v>1539</v>
      </c>
      <c r="E45" t="s">
        <v>560</v>
      </c>
      <c r="F45" t="s">
        <v>1353</v>
      </c>
      <c r="G45" t="s">
        <v>1354</v>
      </c>
      <c r="H45" t="s">
        <v>1540</v>
      </c>
      <c r="I45" t="s">
        <v>1541</v>
      </c>
    </row>
    <row r="46" spans="1:9" x14ac:dyDescent="0.25">
      <c r="A46" t="s">
        <v>1542</v>
      </c>
      <c r="B46" t="s">
        <v>91</v>
      </c>
      <c r="C46" t="s">
        <v>808</v>
      </c>
      <c r="D46" t="s">
        <v>1543</v>
      </c>
      <c r="E46" t="s">
        <v>807</v>
      </c>
      <c r="F46" t="s">
        <v>1353</v>
      </c>
      <c r="G46" t="s">
        <v>1354</v>
      </c>
      <c r="H46" t="s">
        <v>1544</v>
      </c>
      <c r="I46" t="s">
        <v>1545</v>
      </c>
    </row>
    <row r="47" spans="1:9" x14ac:dyDescent="0.25">
      <c r="A47" t="s">
        <v>1546</v>
      </c>
      <c r="B47" t="s">
        <v>91</v>
      </c>
      <c r="C47" t="s">
        <v>506</v>
      </c>
      <c r="D47" t="s">
        <v>507</v>
      </c>
      <c r="E47" t="s">
        <v>777</v>
      </c>
      <c r="F47" t="s">
        <v>1547</v>
      </c>
      <c r="G47" t="s">
        <v>1548</v>
      </c>
      <c r="H47" t="s">
        <v>1549</v>
      </c>
      <c r="I47" t="s">
        <v>1550</v>
      </c>
    </row>
    <row r="48" spans="1:9" x14ac:dyDescent="0.25">
      <c r="A48" t="s">
        <v>1551</v>
      </c>
      <c r="B48" t="s">
        <v>91</v>
      </c>
      <c r="C48" t="s">
        <v>743</v>
      </c>
      <c r="D48" t="s">
        <v>1552</v>
      </c>
      <c r="E48" t="s">
        <v>742</v>
      </c>
      <c r="F48" t="s">
        <v>1547</v>
      </c>
      <c r="G48" t="s">
        <v>1548</v>
      </c>
      <c r="H48" t="s">
        <v>1549</v>
      </c>
      <c r="I48" t="s">
        <v>1550</v>
      </c>
    </row>
    <row r="49" spans="1:9" x14ac:dyDescent="0.25">
      <c r="A49" t="s">
        <v>1553</v>
      </c>
      <c r="B49" t="s">
        <v>91</v>
      </c>
      <c r="C49" t="s">
        <v>268</v>
      </c>
      <c r="D49" t="s">
        <v>327</v>
      </c>
      <c r="E49" t="s">
        <v>547</v>
      </c>
      <c r="F49" t="s">
        <v>1461</v>
      </c>
      <c r="G49" t="s">
        <v>1462</v>
      </c>
      <c r="H49" t="s">
        <v>1554</v>
      </c>
      <c r="I49" t="s">
        <v>1555</v>
      </c>
    </row>
    <row r="50" spans="1:9" x14ac:dyDescent="0.25">
      <c r="A50" t="s">
        <v>1556</v>
      </c>
      <c r="B50" t="s">
        <v>91</v>
      </c>
      <c r="C50" t="s">
        <v>163</v>
      </c>
      <c r="D50" t="s">
        <v>1557</v>
      </c>
      <c r="E50" t="s">
        <v>560</v>
      </c>
      <c r="F50" t="s">
        <v>1353</v>
      </c>
      <c r="G50" t="s">
        <v>1354</v>
      </c>
      <c r="H50" t="s">
        <v>1558</v>
      </c>
      <c r="I50" t="s">
        <v>1559</v>
      </c>
    </row>
    <row r="51" spans="1:9" x14ac:dyDescent="0.25">
      <c r="A51" t="s">
        <v>1560</v>
      </c>
      <c r="B51" t="s">
        <v>91</v>
      </c>
      <c r="C51" t="s">
        <v>163</v>
      </c>
      <c r="D51" t="s">
        <v>1561</v>
      </c>
      <c r="E51" t="s">
        <v>560</v>
      </c>
      <c r="F51" t="s">
        <v>1353</v>
      </c>
      <c r="G51" t="s">
        <v>1354</v>
      </c>
      <c r="H51" t="s">
        <v>1381</v>
      </c>
      <c r="I51" t="s">
        <v>1382</v>
      </c>
    </row>
    <row r="52" spans="1:9" x14ac:dyDescent="0.25">
      <c r="A52" t="s">
        <v>1562</v>
      </c>
      <c r="B52" t="s">
        <v>91</v>
      </c>
      <c r="C52" t="s">
        <v>416</v>
      </c>
      <c r="D52" t="s">
        <v>1563</v>
      </c>
      <c r="E52" t="s">
        <v>760</v>
      </c>
      <c r="F52" t="s">
        <v>1494</v>
      </c>
      <c r="G52" t="s">
        <v>1495</v>
      </c>
      <c r="H52" t="s">
        <v>1496</v>
      </c>
      <c r="I52" t="s">
        <v>1497</v>
      </c>
    </row>
    <row r="53" spans="1:9" x14ac:dyDescent="0.25">
      <c r="A53" t="s">
        <v>1564</v>
      </c>
      <c r="B53" t="s">
        <v>91</v>
      </c>
      <c r="C53" t="s">
        <v>104</v>
      </c>
      <c r="D53" t="s">
        <v>105</v>
      </c>
      <c r="E53" t="s">
        <v>674</v>
      </c>
      <c r="F53" t="s">
        <v>1565</v>
      </c>
      <c r="G53" t="s">
        <v>1566</v>
      </c>
      <c r="H53" t="s">
        <v>1567</v>
      </c>
      <c r="I53" t="s">
        <v>1568</v>
      </c>
    </row>
    <row r="54" spans="1:9" x14ac:dyDescent="0.25">
      <c r="A54" t="s">
        <v>1569</v>
      </c>
      <c r="B54" t="s">
        <v>91</v>
      </c>
      <c r="C54" t="s">
        <v>472</v>
      </c>
      <c r="D54" t="s">
        <v>712</v>
      </c>
      <c r="E54" t="s">
        <v>711</v>
      </c>
      <c r="F54" t="s">
        <v>1570</v>
      </c>
      <c r="G54" t="s">
        <v>1571</v>
      </c>
      <c r="H54" t="s">
        <v>1572</v>
      </c>
      <c r="I54" t="s">
        <v>1573</v>
      </c>
    </row>
    <row r="55" spans="1:9" x14ac:dyDescent="0.25">
      <c r="A55" t="s">
        <v>1574</v>
      </c>
      <c r="B55" t="s">
        <v>91</v>
      </c>
      <c r="C55" t="s">
        <v>1232</v>
      </c>
      <c r="D55" t="s">
        <v>1575</v>
      </c>
      <c r="E55" t="s">
        <v>1231</v>
      </c>
      <c r="F55" t="s">
        <v>1576</v>
      </c>
      <c r="G55" t="s">
        <v>1577</v>
      </c>
      <c r="H55" t="s">
        <v>1578</v>
      </c>
      <c r="I55" t="s">
        <v>1579</v>
      </c>
    </row>
    <row r="56" spans="1:9" x14ac:dyDescent="0.25">
      <c r="A56" t="s">
        <v>1580</v>
      </c>
      <c r="B56" t="s">
        <v>91</v>
      </c>
      <c r="C56" t="s">
        <v>122</v>
      </c>
      <c r="D56" t="s">
        <v>1581</v>
      </c>
      <c r="E56" t="s">
        <v>537</v>
      </c>
      <c r="F56" t="s">
        <v>1450</v>
      </c>
      <c r="G56" t="s">
        <v>1451</v>
      </c>
      <c r="H56" t="s">
        <v>1452</v>
      </c>
      <c r="I56" t="s">
        <v>1453</v>
      </c>
    </row>
    <row r="57" spans="1:9" x14ac:dyDescent="0.25">
      <c r="A57" t="s">
        <v>1582</v>
      </c>
      <c r="B57" t="s">
        <v>91</v>
      </c>
      <c r="C57" t="s">
        <v>1238</v>
      </c>
      <c r="D57" t="s">
        <v>1239</v>
      </c>
      <c r="E57" t="s">
        <v>1237</v>
      </c>
      <c r="F57" t="s">
        <v>1391</v>
      </c>
      <c r="G57" t="s">
        <v>1392</v>
      </c>
      <c r="H57" t="s">
        <v>1583</v>
      </c>
      <c r="I57" t="s">
        <v>1584</v>
      </c>
    </row>
    <row r="58" spans="1:9" x14ac:dyDescent="0.25">
      <c r="A58" t="s">
        <v>1585</v>
      </c>
      <c r="B58" t="s">
        <v>91</v>
      </c>
      <c r="C58" t="s">
        <v>509</v>
      </c>
      <c r="D58" t="s">
        <v>1586</v>
      </c>
      <c r="E58" t="s">
        <v>737</v>
      </c>
      <c r="F58" t="s">
        <v>1419</v>
      </c>
      <c r="G58" t="s">
        <v>1420</v>
      </c>
      <c r="H58" t="s">
        <v>1587</v>
      </c>
      <c r="I58" t="s">
        <v>1588</v>
      </c>
    </row>
    <row r="59" spans="1:9" x14ac:dyDescent="0.25">
      <c r="A59" t="s">
        <v>1589</v>
      </c>
      <c r="B59" t="s">
        <v>91</v>
      </c>
      <c r="C59" t="s">
        <v>243</v>
      </c>
      <c r="D59" t="s">
        <v>244</v>
      </c>
      <c r="E59" t="s">
        <v>950</v>
      </c>
      <c r="F59" t="s">
        <v>1434</v>
      </c>
      <c r="G59" t="s">
        <v>1435</v>
      </c>
      <c r="H59" t="s">
        <v>1590</v>
      </c>
      <c r="I59" t="s">
        <v>1591</v>
      </c>
    </row>
    <row r="60" spans="1:9" x14ac:dyDescent="0.25">
      <c r="A60" t="s">
        <v>1592</v>
      </c>
      <c r="B60" t="s">
        <v>91</v>
      </c>
      <c r="C60" t="s">
        <v>974</v>
      </c>
      <c r="D60" t="s">
        <v>1593</v>
      </c>
      <c r="E60" t="s">
        <v>973</v>
      </c>
      <c r="F60" t="s">
        <v>1594</v>
      </c>
      <c r="G60" t="s">
        <v>1595</v>
      </c>
      <c r="H60" t="s">
        <v>1596</v>
      </c>
      <c r="I60" t="s">
        <v>1597</v>
      </c>
    </row>
    <row r="61" spans="1:9" x14ac:dyDescent="0.25">
      <c r="A61" t="s">
        <v>1598</v>
      </c>
      <c r="B61" t="s">
        <v>91</v>
      </c>
      <c r="C61" t="s">
        <v>1046</v>
      </c>
      <c r="D61" t="s">
        <v>1047</v>
      </c>
      <c r="E61" t="s">
        <v>1045</v>
      </c>
      <c r="F61" t="s">
        <v>1599</v>
      </c>
      <c r="G61" t="s">
        <v>1600</v>
      </c>
      <c r="H61" t="s">
        <v>1601</v>
      </c>
      <c r="I61" t="s">
        <v>1602</v>
      </c>
    </row>
    <row r="62" spans="1:9" x14ac:dyDescent="0.25">
      <c r="A62" t="s">
        <v>1603</v>
      </c>
      <c r="B62" t="s">
        <v>91</v>
      </c>
      <c r="C62" t="s">
        <v>1149</v>
      </c>
      <c r="D62" t="s">
        <v>1604</v>
      </c>
      <c r="E62" t="s">
        <v>1148</v>
      </c>
      <c r="F62" t="s">
        <v>1406</v>
      </c>
      <c r="G62" t="s">
        <v>1407</v>
      </c>
      <c r="H62" t="s">
        <v>1408</v>
      </c>
      <c r="I62" t="s">
        <v>1409</v>
      </c>
    </row>
    <row r="63" spans="1:9" x14ac:dyDescent="0.25">
      <c r="A63" t="s">
        <v>1605</v>
      </c>
      <c r="B63" t="s">
        <v>91</v>
      </c>
      <c r="C63" t="s">
        <v>131</v>
      </c>
      <c r="D63" t="s">
        <v>133</v>
      </c>
      <c r="E63" t="s">
        <v>645</v>
      </c>
      <c r="F63" t="s">
        <v>1606</v>
      </c>
      <c r="G63" t="s">
        <v>1607</v>
      </c>
      <c r="H63" t="s">
        <v>1608</v>
      </c>
      <c r="I63" t="s">
        <v>1609</v>
      </c>
    </row>
    <row r="64" spans="1:9" x14ac:dyDescent="0.25">
      <c r="A64" t="s">
        <v>1610</v>
      </c>
      <c r="B64" t="s">
        <v>91</v>
      </c>
      <c r="C64" t="s">
        <v>190</v>
      </c>
      <c r="D64" t="s">
        <v>375</v>
      </c>
      <c r="E64" t="s">
        <v>623</v>
      </c>
      <c r="F64" t="s">
        <v>1522</v>
      </c>
      <c r="G64" t="s">
        <v>1523</v>
      </c>
      <c r="H64" t="s">
        <v>1524</v>
      </c>
      <c r="I64" t="s">
        <v>1525</v>
      </c>
    </row>
    <row r="65" spans="1:9" x14ac:dyDescent="0.25">
      <c r="A65" t="s">
        <v>1611</v>
      </c>
      <c r="B65" t="s">
        <v>91</v>
      </c>
      <c r="C65" t="s">
        <v>114</v>
      </c>
      <c r="D65" t="s">
        <v>115</v>
      </c>
      <c r="E65" t="s">
        <v>767</v>
      </c>
      <c r="F65" t="s">
        <v>1570</v>
      </c>
      <c r="G65" t="s">
        <v>1571</v>
      </c>
      <c r="H65" t="s">
        <v>1612</v>
      </c>
      <c r="I65" t="s">
        <v>1613</v>
      </c>
    </row>
    <row r="66" spans="1:9" x14ac:dyDescent="0.25">
      <c r="A66" t="s">
        <v>1614</v>
      </c>
      <c r="B66" t="s">
        <v>91</v>
      </c>
      <c r="C66" t="s">
        <v>163</v>
      </c>
      <c r="D66" t="s">
        <v>1615</v>
      </c>
      <c r="E66" t="s">
        <v>560</v>
      </c>
      <c r="F66" t="s">
        <v>1353</v>
      </c>
      <c r="G66" t="s">
        <v>1354</v>
      </c>
      <c r="H66" t="s">
        <v>1513</v>
      </c>
      <c r="I66" t="s">
        <v>1514</v>
      </c>
    </row>
    <row r="67" spans="1:9" x14ac:dyDescent="0.25">
      <c r="A67" t="s">
        <v>1616</v>
      </c>
      <c r="B67" t="s">
        <v>91</v>
      </c>
      <c r="C67" t="s">
        <v>1232</v>
      </c>
      <c r="D67" t="s">
        <v>1233</v>
      </c>
      <c r="E67" t="s">
        <v>1231</v>
      </c>
      <c r="F67" t="s">
        <v>1576</v>
      </c>
      <c r="G67" t="s">
        <v>1577</v>
      </c>
      <c r="H67" t="s">
        <v>1617</v>
      </c>
      <c r="I67" t="s">
        <v>1618</v>
      </c>
    </row>
    <row r="68" spans="1:9" x14ac:dyDescent="0.25">
      <c r="A68" t="s">
        <v>1619</v>
      </c>
      <c r="B68" t="s">
        <v>91</v>
      </c>
      <c r="C68" t="s">
        <v>149</v>
      </c>
      <c r="D68" t="s">
        <v>150</v>
      </c>
      <c r="E68" t="s">
        <v>812</v>
      </c>
      <c r="F68" t="s">
        <v>1364</v>
      </c>
      <c r="G68" t="s">
        <v>1365</v>
      </c>
      <c r="H68" t="s">
        <v>1366</v>
      </c>
      <c r="I68" t="s">
        <v>1367</v>
      </c>
    </row>
    <row r="69" spans="1:9" x14ac:dyDescent="0.25">
      <c r="A69" t="s">
        <v>1620</v>
      </c>
      <c r="B69" t="s">
        <v>91</v>
      </c>
      <c r="C69" t="s">
        <v>268</v>
      </c>
      <c r="D69" t="s">
        <v>288</v>
      </c>
      <c r="E69" t="s">
        <v>547</v>
      </c>
      <c r="F69" t="s">
        <v>1461</v>
      </c>
      <c r="G69" t="s">
        <v>1462</v>
      </c>
      <c r="H69" t="s">
        <v>1554</v>
      </c>
      <c r="I69" t="s">
        <v>1555</v>
      </c>
    </row>
    <row r="70" spans="1:9" x14ac:dyDescent="0.25">
      <c r="A70" t="s">
        <v>1621</v>
      </c>
      <c r="B70" t="s">
        <v>91</v>
      </c>
      <c r="C70" t="s">
        <v>1338</v>
      </c>
      <c r="D70" t="s">
        <v>1339</v>
      </c>
      <c r="E70" t="s">
        <v>1337</v>
      </c>
      <c r="F70" t="s">
        <v>1450</v>
      </c>
      <c r="G70" t="s">
        <v>1451</v>
      </c>
      <c r="H70" t="s">
        <v>1622</v>
      </c>
      <c r="I70" t="s">
        <v>1437</v>
      </c>
    </row>
    <row r="71" spans="1:9" x14ac:dyDescent="0.25">
      <c r="A71" t="s">
        <v>1623</v>
      </c>
      <c r="B71" t="s">
        <v>91</v>
      </c>
      <c r="C71" t="s">
        <v>341</v>
      </c>
      <c r="D71" t="s">
        <v>343</v>
      </c>
      <c r="E71" t="s">
        <v>600</v>
      </c>
      <c r="F71" t="s">
        <v>1370</v>
      </c>
      <c r="G71" t="s">
        <v>1371</v>
      </c>
      <c r="H71" t="s">
        <v>1372</v>
      </c>
      <c r="I71" t="s">
        <v>1373</v>
      </c>
    </row>
    <row r="72" spans="1:9" x14ac:dyDescent="0.25">
      <c r="A72" t="s">
        <v>1624</v>
      </c>
      <c r="B72" t="s">
        <v>91</v>
      </c>
      <c r="C72" t="s">
        <v>172</v>
      </c>
      <c r="D72" t="s">
        <v>189</v>
      </c>
      <c r="E72" t="s">
        <v>557</v>
      </c>
      <c r="F72" t="s">
        <v>1461</v>
      </c>
      <c r="G72" t="s">
        <v>1462</v>
      </c>
      <c r="H72" t="s">
        <v>1463</v>
      </c>
      <c r="I72" t="s">
        <v>1464</v>
      </c>
    </row>
    <row r="73" spans="1:9" x14ac:dyDescent="0.25">
      <c r="A73" t="s">
        <v>1625</v>
      </c>
      <c r="B73" t="s">
        <v>91</v>
      </c>
      <c r="C73" t="s">
        <v>1041</v>
      </c>
      <c r="D73" t="s">
        <v>1042</v>
      </c>
      <c r="E73" t="s">
        <v>1040</v>
      </c>
      <c r="F73" t="s">
        <v>1626</v>
      </c>
      <c r="G73" t="s">
        <v>1627</v>
      </c>
      <c r="H73" t="s">
        <v>1628</v>
      </c>
      <c r="I73" t="s">
        <v>1629</v>
      </c>
    </row>
    <row r="74" spans="1:9" x14ac:dyDescent="0.25">
      <c r="A74" t="s">
        <v>1630</v>
      </c>
      <c r="B74" t="s">
        <v>91</v>
      </c>
      <c r="C74" t="s">
        <v>1075</v>
      </c>
      <c r="D74" t="s">
        <v>1631</v>
      </c>
      <c r="E74" t="s">
        <v>1074</v>
      </c>
      <c r="F74" t="s">
        <v>1406</v>
      </c>
      <c r="G74" t="s">
        <v>1407</v>
      </c>
      <c r="H74" t="s">
        <v>1411</v>
      </c>
      <c r="I74" t="s">
        <v>1412</v>
      </c>
    </row>
    <row r="75" spans="1:9" x14ac:dyDescent="0.25">
      <c r="A75" t="s">
        <v>1632</v>
      </c>
      <c r="B75" t="s">
        <v>91</v>
      </c>
      <c r="C75" t="s">
        <v>126</v>
      </c>
      <c r="D75" t="s">
        <v>305</v>
      </c>
      <c r="E75" t="s">
        <v>590</v>
      </c>
      <c r="F75" t="s">
        <v>1633</v>
      </c>
      <c r="G75" t="s">
        <v>1634</v>
      </c>
      <c r="H75" t="s">
        <v>1635</v>
      </c>
      <c r="I75" t="s">
        <v>1636</v>
      </c>
    </row>
    <row r="76" spans="1:9" x14ac:dyDescent="0.25">
      <c r="A76" t="s">
        <v>1637</v>
      </c>
      <c r="B76" t="s">
        <v>91</v>
      </c>
      <c r="C76" t="s">
        <v>200</v>
      </c>
      <c r="D76" t="s">
        <v>484</v>
      </c>
      <c r="E76" t="s">
        <v>757</v>
      </c>
      <c r="F76" t="s">
        <v>1406</v>
      </c>
      <c r="G76" t="s">
        <v>1407</v>
      </c>
      <c r="H76" t="s">
        <v>1638</v>
      </c>
      <c r="I76" t="s">
        <v>1639</v>
      </c>
    </row>
    <row r="77" spans="1:9" x14ac:dyDescent="0.25">
      <c r="A77" t="s">
        <v>1640</v>
      </c>
      <c r="B77" t="s">
        <v>91</v>
      </c>
      <c r="C77" t="s">
        <v>920</v>
      </c>
      <c r="D77" t="s">
        <v>1641</v>
      </c>
      <c r="E77" t="s">
        <v>919</v>
      </c>
      <c r="F77" t="s">
        <v>1425</v>
      </c>
      <c r="G77" t="s">
        <v>1426</v>
      </c>
      <c r="H77" t="s">
        <v>1427</v>
      </c>
      <c r="I77" t="s">
        <v>1428</v>
      </c>
    </row>
    <row r="78" spans="1:9" x14ac:dyDescent="0.25">
      <c r="A78" t="s">
        <v>1642</v>
      </c>
      <c r="B78" t="s">
        <v>91</v>
      </c>
      <c r="C78" t="s">
        <v>1136</v>
      </c>
      <c r="D78" t="s">
        <v>1137</v>
      </c>
      <c r="E78" t="s">
        <v>1135</v>
      </c>
      <c r="F78" t="s">
        <v>1506</v>
      </c>
      <c r="G78" t="s">
        <v>1507</v>
      </c>
      <c r="H78" t="s">
        <v>1508</v>
      </c>
      <c r="I78" t="s">
        <v>1509</v>
      </c>
    </row>
    <row r="79" spans="1:9" x14ac:dyDescent="0.25">
      <c r="A79" t="s">
        <v>1643</v>
      </c>
      <c r="B79" t="s">
        <v>91</v>
      </c>
      <c r="C79" t="s">
        <v>200</v>
      </c>
      <c r="D79" t="s">
        <v>308</v>
      </c>
      <c r="E79" t="s">
        <v>757</v>
      </c>
      <c r="F79" t="s">
        <v>1406</v>
      </c>
      <c r="G79" t="s">
        <v>1407</v>
      </c>
      <c r="H79" t="s">
        <v>1644</v>
      </c>
      <c r="I79" t="s">
        <v>1645</v>
      </c>
    </row>
    <row r="80" spans="1:9" x14ac:dyDescent="0.25">
      <c r="A80" t="s">
        <v>1646</v>
      </c>
      <c r="B80" t="s">
        <v>91</v>
      </c>
      <c r="C80" t="s">
        <v>360</v>
      </c>
      <c r="D80" t="s">
        <v>361</v>
      </c>
      <c r="E80" t="s">
        <v>1124</v>
      </c>
      <c r="F80" t="s">
        <v>1445</v>
      </c>
      <c r="G80" t="s">
        <v>1446</v>
      </c>
      <c r="H80" t="s">
        <v>1647</v>
      </c>
      <c r="I80" t="s">
        <v>1648</v>
      </c>
    </row>
    <row r="81" spans="1:9" x14ac:dyDescent="0.25">
      <c r="A81" t="s">
        <v>1649</v>
      </c>
      <c r="B81" t="s">
        <v>91</v>
      </c>
      <c r="C81" t="s">
        <v>158</v>
      </c>
      <c r="D81" t="s">
        <v>159</v>
      </c>
      <c r="E81" t="s">
        <v>800</v>
      </c>
      <c r="F81" t="s">
        <v>1650</v>
      </c>
      <c r="G81" t="s">
        <v>1651</v>
      </c>
      <c r="H81" t="s">
        <v>1652</v>
      </c>
      <c r="I81" t="s">
        <v>1653</v>
      </c>
    </row>
    <row r="82" spans="1:9" x14ac:dyDescent="0.25">
      <c r="A82" t="s">
        <v>1654</v>
      </c>
      <c r="B82" t="s">
        <v>91</v>
      </c>
      <c r="C82" t="s">
        <v>900</v>
      </c>
      <c r="D82" t="s">
        <v>901</v>
      </c>
      <c r="E82" t="s">
        <v>899</v>
      </c>
      <c r="F82" t="s">
        <v>1359</v>
      </c>
      <c r="G82" t="s">
        <v>1360</v>
      </c>
      <c r="H82" t="s">
        <v>1655</v>
      </c>
      <c r="I82" t="s">
        <v>1656</v>
      </c>
    </row>
    <row r="83" spans="1:9" x14ac:dyDescent="0.25">
      <c r="A83" t="s">
        <v>1657</v>
      </c>
      <c r="B83" t="s">
        <v>91</v>
      </c>
      <c r="C83" t="s">
        <v>351</v>
      </c>
      <c r="D83" t="s">
        <v>352</v>
      </c>
      <c r="E83" t="s">
        <v>750</v>
      </c>
      <c r="F83" t="s">
        <v>1547</v>
      </c>
      <c r="G83" t="s">
        <v>1548</v>
      </c>
      <c r="H83" t="s">
        <v>1658</v>
      </c>
      <c r="I83" t="s">
        <v>1659</v>
      </c>
    </row>
    <row r="84" spans="1:9" x14ac:dyDescent="0.25">
      <c r="A84" t="s">
        <v>1660</v>
      </c>
      <c r="B84" t="s">
        <v>91</v>
      </c>
      <c r="C84" t="s">
        <v>274</v>
      </c>
      <c r="D84" t="s">
        <v>275</v>
      </c>
      <c r="E84" t="s">
        <v>786</v>
      </c>
      <c r="F84" t="s">
        <v>1650</v>
      </c>
      <c r="G84" t="s">
        <v>1651</v>
      </c>
      <c r="H84" t="s">
        <v>1661</v>
      </c>
      <c r="I84" t="s">
        <v>1662</v>
      </c>
    </row>
    <row r="85" spans="1:9" x14ac:dyDescent="0.25">
      <c r="A85" t="s">
        <v>1663</v>
      </c>
      <c r="B85" t="s">
        <v>91</v>
      </c>
      <c r="C85" t="s">
        <v>110</v>
      </c>
      <c r="D85" t="s">
        <v>429</v>
      </c>
      <c r="E85" t="s">
        <v>822</v>
      </c>
      <c r="F85" t="s">
        <v>1506</v>
      </c>
      <c r="G85" t="s">
        <v>1507</v>
      </c>
      <c r="H85" t="s">
        <v>1664</v>
      </c>
      <c r="I85" t="s">
        <v>1665</v>
      </c>
    </row>
    <row r="86" spans="1:9" x14ac:dyDescent="0.25">
      <c r="A86" t="s">
        <v>1666</v>
      </c>
      <c r="B86" t="s">
        <v>91</v>
      </c>
      <c r="C86" t="s">
        <v>1214</v>
      </c>
      <c r="D86" t="s">
        <v>1215</v>
      </c>
      <c r="E86" t="s">
        <v>1213</v>
      </c>
      <c r="F86" t="s">
        <v>1483</v>
      </c>
      <c r="G86" t="s">
        <v>1484</v>
      </c>
      <c r="H86" t="s">
        <v>1485</v>
      </c>
      <c r="I86" t="s">
        <v>1486</v>
      </c>
    </row>
    <row r="87" spans="1:9" x14ac:dyDescent="0.25">
      <c r="A87" t="s">
        <v>1667</v>
      </c>
      <c r="B87" t="s">
        <v>91</v>
      </c>
      <c r="C87" t="s">
        <v>266</v>
      </c>
      <c r="D87" t="s">
        <v>1668</v>
      </c>
      <c r="E87" t="s">
        <v>825</v>
      </c>
      <c r="F87" t="s">
        <v>1461</v>
      </c>
      <c r="G87" t="s">
        <v>1462</v>
      </c>
      <c r="H87" t="s">
        <v>1669</v>
      </c>
      <c r="I87" t="s">
        <v>1670</v>
      </c>
    </row>
    <row r="88" spans="1:9" x14ac:dyDescent="0.25">
      <c r="A88" t="s">
        <v>1671</v>
      </c>
      <c r="B88" t="s">
        <v>91</v>
      </c>
      <c r="C88" t="s">
        <v>200</v>
      </c>
      <c r="D88" t="s">
        <v>1672</v>
      </c>
      <c r="E88" t="s">
        <v>757</v>
      </c>
      <c r="F88" t="s">
        <v>1406</v>
      </c>
      <c r="G88" t="s">
        <v>1407</v>
      </c>
      <c r="H88" t="s">
        <v>1411</v>
      </c>
      <c r="I88" t="s">
        <v>1412</v>
      </c>
    </row>
    <row r="89" spans="1:9" x14ac:dyDescent="0.25">
      <c r="A89" t="s">
        <v>1673</v>
      </c>
      <c r="B89" t="s">
        <v>91</v>
      </c>
      <c r="C89" t="s">
        <v>341</v>
      </c>
      <c r="D89" t="s">
        <v>1674</v>
      </c>
      <c r="E89" t="s">
        <v>600</v>
      </c>
      <c r="F89" t="s">
        <v>1370</v>
      </c>
      <c r="G89" t="s">
        <v>1371</v>
      </c>
      <c r="H89" t="s">
        <v>1372</v>
      </c>
      <c r="I89" t="s">
        <v>1373</v>
      </c>
    </row>
    <row r="90" spans="1:9" x14ac:dyDescent="0.25">
      <c r="A90" t="s">
        <v>1675</v>
      </c>
      <c r="B90" t="s">
        <v>91</v>
      </c>
      <c r="C90" t="s">
        <v>170</v>
      </c>
      <c r="D90" t="s">
        <v>171</v>
      </c>
      <c r="E90" t="s">
        <v>708</v>
      </c>
      <c r="F90" t="s">
        <v>1676</v>
      </c>
      <c r="G90" t="s">
        <v>1677</v>
      </c>
      <c r="H90" t="s">
        <v>1678</v>
      </c>
      <c r="I90" t="s">
        <v>1679</v>
      </c>
    </row>
    <row r="91" spans="1:9" x14ac:dyDescent="0.25">
      <c r="A91" t="s">
        <v>1680</v>
      </c>
      <c r="B91" t="s">
        <v>91</v>
      </c>
      <c r="C91" t="s">
        <v>920</v>
      </c>
      <c r="D91" t="s">
        <v>1681</v>
      </c>
      <c r="E91" t="s">
        <v>919</v>
      </c>
      <c r="F91" t="s">
        <v>1425</v>
      </c>
      <c r="G91" t="s">
        <v>1426</v>
      </c>
      <c r="H91" t="s">
        <v>1427</v>
      </c>
      <c r="I91" t="s">
        <v>1428</v>
      </c>
    </row>
    <row r="92" spans="1:9" x14ac:dyDescent="0.25">
      <c r="A92" t="s">
        <v>1682</v>
      </c>
      <c r="B92" t="s">
        <v>91</v>
      </c>
      <c r="C92" t="s">
        <v>192</v>
      </c>
      <c r="D92" t="s">
        <v>194</v>
      </c>
      <c r="E92" t="s">
        <v>583</v>
      </c>
      <c r="F92" t="s">
        <v>1450</v>
      </c>
      <c r="G92" t="s">
        <v>1451</v>
      </c>
      <c r="H92" t="s">
        <v>1683</v>
      </c>
      <c r="I92" t="s">
        <v>1684</v>
      </c>
    </row>
    <row r="93" spans="1:9" x14ac:dyDescent="0.25">
      <c r="A93" t="s">
        <v>1685</v>
      </c>
      <c r="B93" t="s">
        <v>91</v>
      </c>
      <c r="C93" t="s">
        <v>163</v>
      </c>
      <c r="D93" t="s">
        <v>1686</v>
      </c>
      <c r="E93" t="s">
        <v>560</v>
      </c>
      <c r="F93" t="s">
        <v>1353</v>
      </c>
      <c r="G93" t="s">
        <v>1354</v>
      </c>
      <c r="H93" t="s">
        <v>1513</v>
      </c>
      <c r="I93" t="s">
        <v>1514</v>
      </c>
    </row>
    <row r="94" spans="1:9" x14ac:dyDescent="0.25">
      <c r="A94" t="s">
        <v>1687</v>
      </c>
      <c r="B94" t="s">
        <v>91</v>
      </c>
      <c r="C94" t="s">
        <v>1201</v>
      </c>
      <c r="D94" t="s">
        <v>1688</v>
      </c>
      <c r="E94" t="s">
        <v>1200</v>
      </c>
      <c r="F94" t="s">
        <v>1689</v>
      </c>
      <c r="G94" t="s">
        <v>1690</v>
      </c>
      <c r="H94" t="s">
        <v>1691</v>
      </c>
      <c r="I94" t="s">
        <v>1692</v>
      </c>
    </row>
    <row r="95" spans="1:9" x14ac:dyDescent="0.25">
      <c r="A95" t="s">
        <v>1693</v>
      </c>
      <c r="B95" t="s">
        <v>91</v>
      </c>
      <c r="C95" t="s">
        <v>163</v>
      </c>
      <c r="D95" t="s">
        <v>1694</v>
      </c>
      <c r="E95" t="s">
        <v>560</v>
      </c>
      <c r="F95" t="s">
        <v>1353</v>
      </c>
      <c r="G95" t="s">
        <v>1354</v>
      </c>
      <c r="H95" t="s">
        <v>1381</v>
      </c>
      <c r="I95" t="s">
        <v>1382</v>
      </c>
    </row>
    <row r="96" spans="1:9" x14ac:dyDescent="0.25">
      <c r="A96" t="s">
        <v>1695</v>
      </c>
      <c r="B96" t="s">
        <v>91</v>
      </c>
      <c r="C96" t="s">
        <v>487</v>
      </c>
      <c r="D96" t="s">
        <v>1696</v>
      </c>
      <c r="E96" t="s">
        <v>1036</v>
      </c>
      <c r="F96" t="s">
        <v>1425</v>
      </c>
      <c r="G96" t="s">
        <v>1426</v>
      </c>
      <c r="H96" t="s">
        <v>1697</v>
      </c>
      <c r="I96" t="s">
        <v>1698</v>
      </c>
    </row>
    <row r="97" spans="1:9" x14ac:dyDescent="0.25">
      <c r="A97" t="s">
        <v>1699</v>
      </c>
      <c r="B97" t="s">
        <v>91</v>
      </c>
      <c r="C97" t="s">
        <v>1214</v>
      </c>
      <c r="D97" t="s">
        <v>1700</v>
      </c>
      <c r="E97" t="s">
        <v>1213</v>
      </c>
      <c r="F97" t="s">
        <v>1483</v>
      </c>
      <c r="G97" t="s">
        <v>1484</v>
      </c>
      <c r="H97" t="s">
        <v>1485</v>
      </c>
      <c r="I97" t="s">
        <v>1486</v>
      </c>
    </row>
    <row r="98" spans="1:9" x14ac:dyDescent="0.25">
      <c r="A98" t="s">
        <v>1701</v>
      </c>
      <c r="B98" t="s">
        <v>91</v>
      </c>
      <c r="C98" t="s">
        <v>163</v>
      </c>
      <c r="D98" t="s">
        <v>1702</v>
      </c>
      <c r="E98" t="s">
        <v>560</v>
      </c>
      <c r="F98" t="s">
        <v>1353</v>
      </c>
      <c r="G98" t="s">
        <v>1354</v>
      </c>
      <c r="H98" t="s">
        <v>1355</v>
      </c>
      <c r="I98" t="s">
        <v>1356</v>
      </c>
    </row>
    <row r="99" spans="1:9" x14ac:dyDescent="0.25">
      <c r="A99" t="s">
        <v>1703</v>
      </c>
      <c r="B99" t="s">
        <v>91</v>
      </c>
      <c r="C99" t="s">
        <v>384</v>
      </c>
      <c r="D99" t="s">
        <v>385</v>
      </c>
      <c r="E99" t="s">
        <v>681</v>
      </c>
      <c r="F99" t="s">
        <v>1522</v>
      </c>
      <c r="G99" t="s">
        <v>1523</v>
      </c>
      <c r="H99" t="s">
        <v>1704</v>
      </c>
      <c r="I99" t="s">
        <v>1705</v>
      </c>
    </row>
    <row r="100" spans="1:9" x14ac:dyDescent="0.25">
      <c r="A100" t="s">
        <v>1706</v>
      </c>
      <c r="B100" t="s">
        <v>91</v>
      </c>
      <c r="C100" t="s">
        <v>238</v>
      </c>
      <c r="D100" t="s">
        <v>965</v>
      </c>
      <c r="E100" t="s">
        <v>964</v>
      </c>
      <c r="F100" t="s">
        <v>1707</v>
      </c>
      <c r="G100" t="s">
        <v>1708</v>
      </c>
      <c r="H100" t="s">
        <v>1709</v>
      </c>
      <c r="I100" t="s">
        <v>1710</v>
      </c>
    </row>
    <row r="101" spans="1:9" x14ac:dyDescent="0.25">
      <c r="A101" t="s">
        <v>1711</v>
      </c>
      <c r="B101" t="s">
        <v>91</v>
      </c>
      <c r="C101" t="s">
        <v>110</v>
      </c>
      <c r="D101" t="s">
        <v>111</v>
      </c>
      <c r="E101" t="s">
        <v>822</v>
      </c>
      <c r="F101" t="s">
        <v>1506</v>
      </c>
      <c r="G101" t="s">
        <v>1507</v>
      </c>
      <c r="H101" t="s">
        <v>1712</v>
      </c>
      <c r="I101" t="s">
        <v>1713</v>
      </c>
    </row>
    <row r="102" spans="1:9" x14ac:dyDescent="0.25">
      <c r="A102" t="s">
        <v>1714</v>
      </c>
      <c r="B102" t="s">
        <v>91</v>
      </c>
      <c r="C102" t="s">
        <v>920</v>
      </c>
      <c r="D102" t="s">
        <v>1715</v>
      </c>
      <c r="E102" t="s">
        <v>919</v>
      </c>
      <c r="F102" t="s">
        <v>1425</v>
      </c>
      <c r="G102" t="s">
        <v>1426</v>
      </c>
      <c r="H102" t="s">
        <v>1427</v>
      </c>
      <c r="I102" t="s">
        <v>1428</v>
      </c>
    </row>
    <row r="103" spans="1:9" x14ac:dyDescent="0.25">
      <c r="A103" t="s">
        <v>1716</v>
      </c>
      <c r="B103" t="s">
        <v>91</v>
      </c>
      <c r="C103" t="s">
        <v>1024</v>
      </c>
      <c r="D103" t="s">
        <v>1025</v>
      </c>
      <c r="E103" t="s">
        <v>1023</v>
      </c>
      <c r="F103" t="s">
        <v>1517</v>
      </c>
      <c r="G103" t="s">
        <v>1518</v>
      </c>
      <c r="H103" t="s">
        <v>1717</v>
      </c>
      <c r="I103" t="s">
        <v>1718</v>
      </c>
    </row>
    <row r="104" spans="1:9" x14ac:dyDescent="0.25">
      <c r="A104" t="s">
        <v>1719</v>
      </c>
      <c r="B104" t="s">
        <v>91</v>
      </c>
      <c r="C104" t="s">
        <v>163</v>
      </c>
      <c r="D104" t="s">
        <v>1720</v>
      </c>
      <c r="E104" t="s">
        <v>560</v>
      </c>
      <c r="F104" t="s">
        <v>1353</v>
      </c>
      <c r="G104" t="s">
        <v>1354</v>
      </c>
      <c r="H104" t="s">
        <v>1513</v>
      </c>
      <c r="I104" t="s">
        <v>1514</v>
      </c>
    </row>
    <row r="105" spans="1:9" x14ac:dyDescent="0.25">
      <c r="A105" t="s">
        <v>1721</v>
      </c>
      <c r="B105" t="s">
        <v>91</v>
      </c>
      <c r="C105" t="s">
        <v>937</v>
      </c>
      <c r="D105" t="s">
        <v>1722</v>
      </c>
      <c r="E105" t="s">
        <v>936</v>
      </c>
      <c r="F105" t="s">
        <v>1434</v>
      </c>
      <c r="G105" t="s">
        <v>1435</v>
      </c>
      <c r="H105" t="s">
        <v>1590</v>
      </c>
      <c r="I105" t="s">
        <v>1591</v>
      </c>
    </row>
    <row r="106" spans="1:9" x14ac:dyDescent="0.25">
      <c r="A106" t="s">
        <v>1723</v>
      </c>
      <c r="B106" t="s">
        <v>91</v>
      </c>
      <c r="C106" t="s">
        <v>376</v>
      </c>
      <c r="D106" t="s">
        <v>1724</v>
      </c>
      <c r="E106" t="s">
        <v>586</v>
      </c>
      <c r="F106" t="s">
        <v>1725</v>
      </c>
      <c r="G106" t="s">
        <v>1726</v>
      </c>
      <c r="H106" t="s">
        <v>1727</v>
      </c>
      <c r="I106" t="s">
        <v>1728</v>
      </c>
    </row>
    <row r="107" spans="1:9" x14ac:dyDescent="0.25">
      <c r="A107" t="s">
        <v>1729</v>
      </c>
      <c r="B107" t="s">
        <v>91</v>
      </c>
      <c r="C107" t="s">
        <v>957</v>
      </c>
      <c r="D107" t="s">
        <v>1730</v>
      </c>
      <c r="E107" t="s">
        <v>956</v>
      </c>
      <c r="F107" t="s">
        <v>1731</v>
      </c>
      <c r="G107" t="s">
        <v>1732</v>
      </c>
      <c r="H107" t="s">
        <v>1733</v>
      </c>
      <c r="I107" t="s">
        <v>1734</v>
      </c>
    </row>
    <row r="108" spans="1:9" x14ac:dyDescent="0.25">
      <c r="A108" t="s">
        <v>1735</v>
      </c>
      <c r="B108" t="s">
        <v>91</v>
      </c>
      <c r="C108" t="s">
        <v>743</v>
      </c>
      <c r="D108" t="s">
        <v>1736</v>
      </c>
      <c r="E108" t="s">
        <v>742</v>
      </c>
      <c r="F108" t="s">
        <v>1547</v>
      </c>
      <c r="G108" t="s">
        <v>1548</v>
      </c>
      <c r="H108" t="s">
        <v>1549</v>
      </c>
      <c r="I108" t="s">
        <v>1550</v>
      </c>
    </row>
    <row r="109" spans="1:9" x14ac:dyDescent="0.25">
      <c r="A109" t="s">
        <v>1737</v>
      </c>
      <c r="B109" t="s">
        <v>91</v>
      </c>
      <c r="C109" t="s">
        <v>126</v>
      </c>
      <c r="D109" t="s">
        <v>152</v>
      </c>
      <c r="E109" t="s">
        <v>590</v>
      </c>
      <c r="F109" t="s">
        <v>1738</v>
      </c>
      <c r="G109" t="s">
        <v>1739</v>
      </c>
      <c r="H109" t="s">
        <v>1740</v>
      </c>
      <c r="I109" t="s">
        <v>1741</v>
      </c>
    </row>
    <row r="110" spans="1:9" x14ac:dyDescent="0.25">
      <c r="A110" t="s">
        <v>1742</v>
      </c>
      <c r="B110" t="s">
        <v>91</v>
      </c>
      <c r="C110" t="s">
        <v>1029</v>
      </c>
      <c r="D110" t="s">
        <v>1030</v>
      </c>
      <c r="E110" t="s">
        <v>1028</v>
      </c>
      <c r="F110" t="s">
        <v>1419</v>
      </c>
      <c r="G110" t="s">
        <v>1420</v>
      </c>
      <c r="H110" t="s">
        <v>1743</v>
      </c>
      <c r="I110" t="s">
        <v>1744</v>
      </c>
    </row>
    <row r="111" spans="1:9" x14ac:dyDescent="0.25">
      <c r="A111" t="s">
        <v>1745</v>
      </c>
      <c r="B111" t="s">
        <v>91</v>
      </c>
      <c r="C111" t="s">
        <v>487</v>
      </c>
      <c r="D111" t="s">
        <v>1746</v>
      </c>
      <c r="E111" t="s">
        <v>1036</v>
      </c>
      <c r="F111" t="s">
        <v>1425</v>
      </c>
      <c r="G111" t="s">
        <v>1426</v>
      </c>
      <c r="H111" t="s">
        <v>1697</v>
      </c>
      <c r="I111" t="s">
        <v>1698</v>
      </c>
    </row>
    <row r="112" spans="1:9" x14ac:dyDescent="0.25">
      <c r="A112" t="s">
        <v>1747</v>
      </c>
      <c r="B112" t="s">
        <v>91</v>
      </c>
      <c r="C112" t="s">
        <v>929</v>
      </c>
      <c r="D112" t="s">
        <v>1748</v>
      </c>
      <c r="E112" t="s">
        <v>928</v>
      </c>
      <c r="F112" t="s">
        <v>1419</v>
      </c>
      <c r="G112" t="s">
        <v>1420</v>
      </c>
      <c r="H112" t="s">
        <v>1421</v>
      </c>
      <c r="I112" t="s">
        <v>1422</v>
      </c>
    </row>
    <row r="113" spans="1:9" x14ac:dyDescent="0.25">
      <c r="A113" t="s">
        <v>1749</v>
      </c>
      <c r="B113" t="s">
        <v>91</v>
      </c>
      <c r="C113" t="s">
        <v>318</v>
      </c>
      <c r="D113" t="s">
        <v>481</v>
      </c>
      <c r="E113" t="s">
        <v>849</v>
      </c>
      <c r="F113" t="s">
        <v>1750</v>
      </c>
      <c r="G113" t="s">
        <v>1751</v>
      </c>
      <c r="H113" t="s">
        <v>1752</v>
      </c>
      <c r="I113" t="s">
        <v>1753</v>
      </c>
    </row>
    <row r="114" spans="1:9" x14ac:dyDescent="0.25">
      <c r="A114" t="s">
        <v>1754</v>
      </c>
      <c r="B114" t="s">
        <v>91</v>
      </c>
      <c r="C114" t="s">
        <v>451</v>
      </c>
      <c r="D114" t="s">
        <v>452</v>
      </c>
      <c r="E114" t="s">
        <v>872</v>
      </c>
      <c r="F114" t="s">
        <v>1755</v>
      </c>
      <c r="G114" t="s">
        <v>1756</v>
      </c>
      <c r="H114" t="s">
        <v>1757</v>
      </c>
      <c r="I114" t="s">
        <v>1758</v>
      </c>
    </row>
    <row r="115" spans="1:9" x14ac:dyDescent="0.25">
      <c r="A115" t="s">
        <v>1759</v>
      </c>
      <c r="B115" t="s">
        <v>91</v>
      </c>
      <c r="C115" t="s">
        <v>335</v>
      </c>
      <c r="D115" t="s">
        <v>1760</v>
      </c>
      <c r="E115" t="s">
        <v>835</v>
      </c>
      <c r="F115" t="s">
        <v>1761</v>
      </c>
      <c r="G115" t="s">
        <v>1762</v>
      </c>
      <c r="H115" t="s">
        <v>1763</v>
      </c>
      <c r="I115" t="s">
        <v>1764</v>
      </c>
    </row>
    <row r="116" spans="1:9" x14ac:dyDescent="0.25">
      <c r="A116" t="s">
        <v>1765</v>
      </c>
      <c r="B116" t="s">
        <v>91</v>
      </c>
      <c r="C116" t="s">
        <v>261</v>
      </c>
      <c r="D116" t="s">
        <v>262</v>
      </c>
      <c r="E116" t="s">
        <v>946</v>
      </c>
      <c r="F116" t="s">
        <v>1489</v>
      </c>
      <c r="G116" t="s">
        <v>1490</v>
      </c>
      <c r="H116" t="s">
        <v>1491</v>
      </c>
      <c r="I116" t="s">
        <v>1492</v>
      </c>
    </row>
    <row r="117" spans="1:9" x14ac:dyDescent="0.25">
      <c r="A117" t="s">
        <v>1766</v>
      </c>
      <c r="B117" t="s">
        <v>91</v>
      </c>
      <c r="C117" t="s">
        <v>969</v>
      </c>
      <c r="D117" t="s">
        <v>970</v>
      </c>
      <c r="E117" t="s">
        <v>968</v>
      </c>
      <c r="F117" t="s">
        <v>1506</v>
      </c>
      <c r="G117" t="s">
        <v>1507</v>
      </c>
      <c r="H117" t="s">
        <v>1712</v>
      </c>
      <c r="I117" t="s">
        <v>1713</v>
      </c>
    </row>
    <row r="118" spans="1:9" x14ac:dyDescent="0.25">
      <c r="A118" t="s">
        <v>1767</v>
      </c>
      <c r="B118" t="s">
        <v>91</v>
      </c>
      <c r="C118" t="s">
        <v>1061</v>
      </c>
      <c r="D118" t="s">
        <v>1062</v>
      </c>
      <c r="E118" t="s">
        <v>1060</v>
      </c>
      <c r="F118" t="s">
        <v>1414</v>
      </c>
      <c r="G118" t="s">
        <v>1415</v>
      </c>
      <c r="H118" t="s">
        <v>1768</v>
      </c>
      <c r="I118" t="s">
        <v>1769</v>
      </c>
    </row>
    <row r="119" spans="1:9" x14ac:dyDescent="0.25">
      <c r="A119" t="s">
        <v>1770</v>
      </c>
      <c r="B119" t="s">
        <v>91</v>
      </c>
      <c r="C119" t="s">
        <v>266</v>
      </c>
      <c r="D119" t="s">
        <v>267</v>
      </c>
      <c r="E119" t="s">
        <v>825</v>
      </c>
      <c r="F119" t="s">
        <v>1461</v>
      </c>
      <c r="G119" t="s">
        <v>1462</v>
      </c>
      <c r="H119" t="s">
        <v>1669</v>
      </c>
      <c r="I119" t="s">
        <v>1670</v>
      </c>
    </row>
    <row r="120" spans="1:9" x14ac:dyDescent="0.25">
      <c r="A120" t="s">
        <v>1771</v>
      </c>
      <c r="B120" t="s">
        <v>91</v>
      </c>
      <c r="C120" t="s">
        <v>338</v>
      </c>
      <c r="D120" t="s">
        <v>764</v>
      </c>
      <c r="E120" t="s">
        <v>763</v>
      </c>
      <c r="F120" t="s">
        <v>1440</v>
      </c>
      <c r="G120" t="s">
        <v>1441</v>
      </c>
      <c r="H120" t="s">
        <v>1442</v>
      </c>
      <c r="I120" t="s">
        <v>1443</v>
      </c>
    </row>
    <row r="121" spans="1:9" x14ac:dyDescent="0.25">
      <c r="A121" t="s">
        <v>1772</v>
      </c>
      <c r="B121" t="s">
        <v>91</v>
      </c>
      <c r="C121" t="s">
        <v>1186</v>
      </c>
      <c r="D121" t="s">
        <v>1187</v>
      </c>
      <c r="E121" t="s">
        <v>1185</v>
      </c>
      <c r="F121" t="s">
        <v>1731</v>
      </c>
      <c r="G121" t="s">
        <v>1732</v>
      </c>
      <c r="H121" t="s">
        <v>1773</v>
      </c>
      <c r="I121" t="s">
        <v>1774</v>
      </c>
    </row>
    <row r="122" spans="1:9" x14ac:dyDescent="0.25">
      <c r="A122" t="s">
        <v>1775</v>
      </c>
      <c r="B122" t="s">
        <v>91</v>
      </c>
      <c r="C122" t="s">
        <v>399</v>
      </c>
      <c r="D122" t="s">
        <v>401</v>
      </c>
      <c r="E122" t="s">
        <v>637</v>
      </c>
      <c r="F122" t="s">
        <v>1445</v>
      </c>
      <c r="G122" t="s">
        <v>1446</v>
      </c>
      <c r="H122" t="s">
        <v>1447</v>
      </c>
      <c r="I122" t="s">
        <v>1448</v>
      </c>
    </row>
    <row r="123" spans="1:9" x14ac:dyDescent="0.25">
      <c r="A123" t="s">
        <v>1776</v>
      </c>
      <c r="B123" t="s">
        <v>91</v>
      </c>
      <c r="C123" t="s">
        <v>205</v>
      </c>
      <c r="D123" t="s">
        <v>206</v>
      </c>
      <c r="E123" t="s">
        <v>651</v>
      </c>
      <c r="F123" t="s">
        <v>1731</v>
      </c>
      <c r="G123" t="s">
        <v>1732</v>
      </c>
      <c r="H123" t="s">
        <v>1777</v>
      </c>
      <c r="I123" t="s">
        <v>1778</v>
      </c>
    </row>
    <row r="124" spans="1:9" x14ac:dyDescent="0.25">
      <c r="A124" t="s">
        <v>1779</v>
      </c>
      <c r="B124" t="s">
        <v>91</v>
      </c>
      <c r="C124" t="s">
        <v>379</v>
      </c>
      <c r="D124" t="s">
        <v>774</v>
      </c>
      <c r="E124" t="s">
        <v>773</v>
      </c>
      <c r="F124" t="s">
        <v>1385</v>
      </c>
      <c r="G124" t="s">
        <v>1386</v>
      </c>
      <c r="H124" t="s">
        <v>1387</v>
      </c>
      <c r="I124" t="s">
        <v>1388</v>
      </c>
    </row>
    <row r="125" spans="1:9" x14ac:dyDescent="0.25">
      <c r="A125" t="s">
        <v>1780</v>
      </c>
      <c r="B125" t="s">
        <v>91</v>
      </c>
      <c r="C125" t="s">
        <v>131</v>
      </c>
      <c r="D125" t="s">
        <v>271</v>
      </c>
      <c r="E125" t="s">
        <v>645</v>
      </c>
      <c r="F125" t="s">
        <v>1606</v>
      </c>
      <c r="G125" t="s">
        <v>1607</v>
      </c>
      <c r="H125" t="s">
        <v>1608</v>
      </c>
      <c r="I125" t="s">
        <v>1609</v>
      </c>
    </row>
    <row r="126" spans="1:9" x14ac:dyDescent="0.25">
      <c r="A126" t="s">
        <v>1781</v>
      </c>
      <c r="B126" t="s">
        <v>91</v>
      </c>
      <c r="C126" t="s">
        <v>1333</v>
      </c>
      <c r="D126" t="s">
        <v>1334</v>
      </c>
      <c r="E126" t="s">
        <v>1332</v>
      </c>
      <c r="F126" t="s">
        <v>1782</v>
      </c>
      <c r="G126" t="s">
        <v>1783</v>
      </c>
      <c r="H126" t="s">
        <v>1784</v>
      </c>
      <c r="I126" t="s">
        <v>1785</v>
      </c>
    </row>
    <row r="127" spans="1:9" x14ac:dyDescent="0.25">
      <c r="A127" t="s">
        <v>1786</v>
      </c>
      <c r="B127" t="s">
        <v>91</v>
      </c>
      <c r="C127" t="s">
        <v>880</v>
      </c>
      <c r="D127" t="s">
        <v>1787</v>
      </c>
      <c r="E127" t="s">
        <v>879</v>
      </c>
      <c r="F127" t="s">
        <v>1599</v>
      </c>
      <c r="G127" t="s">
        <v>1600</v>
      </c>
      <c r="H127" t="s">
        <v>1788</v>
      </c>
      <c r="I127" t="s">
        <v>1789</v>
      </c>
    </row>
    <row r="128" spans="1:9" x14ac:dyDescent="0.25">
      <c r="A128" t="s">
        <v>1790</v>
      </c>
      <c r="B128" t="s">
        <v>91</v>
      </c>
      <c r="C128" t="s">
        <v>131</v>
      </c>
      <c r="D128" t="s">
        <v>1791</v>
      </c>
      <c r="E128" t="s">
        <v>645</v>
      </c>
      <c r="F128" t="s">
        <v>1606</v>
      </c>
      <c r="G128" t="s">
        <v>1607</v>
      </c>
      <c r="H128" t="s">
        <v>1608</v>
      </c>
      <c r="I128" t="s">
        <v>1609</v>
      </c>
    </row>
    <row r="129" spans="1:9" x14ac:dyDescent="0.25">
      <c r="A129" t="s">
        <v>1792</v>
      </c>
      <c r="B129" t="s">
        <v>91</v>
      </c>
      <c r="C129" t="s">
        <v>348</v>
      </c>
      <c r="D129" t="s">
        <v>1793</v>
      </c>
      <c r="E129" t="s">
        <v>619</v>
      </c>
      <c r="F129" t="s">
        <v>1414</v>
      </c>
      <c r="G129" t="s">
        <v>1415</v>
      </c>
      <c r="H129" t="s">
        <v>1416</v>
      </c>
      <c r="I129" t="s">
        <v>1417</v>
      </c>
    </row>
    <row r="130" spans="1:9" x14ac:dyDescent="0.25">
      <c r="A130" t="s">
        <v>1794</v>
      </c>
      <c r="B130" t="s">
        <v>91</v>
      </c>
      <c r="C130" t="s">
        <v>1290</v>
      </c>
      <c r="D130" t="s">
        <v>1291</v>
      </c>
      <c r="E130" t="s">
        <v>1289</v>
      </c>
      <c r="F130" t="s">
        <v>1434</v>
      </c>
      <c r="G130" t="s">
        <v>1435</v>
      </c>
      <c r="H130" t="s">
        <v>1590</v>
      </c>
      <c r="I130" t="s">
        <v>1591</v>
      </c>
    </row>
    <row r="131" spans="1:9" x14ac:dyDescent="0.25">
      <c r="A131" t="s">
        <v>1795</v>
      </c>
      <c r="B131" t="s">
        <v>91</v>
      </c>
      <c r="C131" t="s">
        <v>362</v>
      </c>
      <c r="D131" t="s">
        <v>407</v>
      </c>
      <c r="E131" t="s">
        <v>819</v>
      </c>
      <c r="F131" t="s">
        <v>1796</v>
      </c>
      <c r="G131" t="s">
        <v>1797</v>
      </c>
      <c r="H131" t="s">
        <v>1798</v>
      </c>
      <c r="I131" t="s">
        <v>1799</v>
      </c>
    </row>
    <row r="132" spans="1:9" x14ac:dyDescent="0.25">
      <c r="A132" t="s">
        <v>1800</v>
      </c>
      <c r="B132" t="s">
        <v>91</v>
      </c>
      <c r="C132" t="s">
        <v>99</v>
      </c>
      <c r="D132" t="s">
        <v>381</v>
      </c>
      <c r="E132" t="s">
        <v>733</v>
      </c>
      <c r="F132" t="s">
        <v>1801</v>
      </c>
      <c r="G132" t="s">
        <v>1802</v>
      </c>
      <c r="H132" t="s">
        <v>1803</v>
      </c>
      <c r="I132" t="s">
        <v>1804</v>
      </c>
    </row>
    <row r="133" spans="1:9" x14ac:dyDescent="0.25">
      <c r="A133" t="s">
        <v>1805</v>
      </c>
      <c r="B133" t="s">
        <v>91</v>
      </c>
      <c r="C133" t="s">
        <v>432</v>
      </c>
      <c r="D133" t="s">
        <v>1806</v>
      </c>
      <c r="E133" t="s">
        <v>633</v>
      </c>
      <c r="F133" t="s">
        <v>1750</v>
      </c>
      <c r="G133" t="s">
        <v>1751</v>
      </c>
      <c r="H133" t="s">
        <v>1807</v>
      </c>
      <c r="I133" t="s">
        <v>1808</v>
      </c>
    </row>
    <row r="134" spans="1:9" x14ac:dyDescent="0.25">
      <c r="A134" t="s">
        <v>1809</v>
      </c>
      <c r="B134" t="s">
        <v>91</v>
      </c>
      <c r="C134" t="s">
        <v>131</v>
      </c>
      <c r="D134" t="s">
        <v>235</v>
      </c>
      <c r="E134" t="s">
        <v>645</v>
      </c>
      <c r="F134" t="s">
        <v>1606</v>
      </c>
      <c r="G134" t="s">
        <v>1607</v>
      </c>
      <c r="H134" t="s">
        <v>1608</v>
      </c>
      <c r="I134" t="s">
        <v>1609</v>
      </c>
    </row>
    <row r="135" spans="1:9" x14ac:dyDescent="0.25">
      <c r="A135" t="s">
        <v>1810</v>
      </c>
      <c r="B135" t="s">
        <v>91</v>
      </c>
      <c r="C135" t="s">
        <v>122</v>
      </c>
      <c r="D135" t="s">
        <v>334</v>
      </c>
      <c r="E135" t="s">
        <v>537</v>
      </c>
      <c r="F135" t="s">
        <v>1450</v>
      </c>
      <c r="G135" t="s">
        <v>1451</v>
      </c>
      <c r="H135" t="s">
        <v>1452</v>
      </c>
      <c r="I135" t="s">
        <v>1453</v>
      </c>
    </row>
    <row r="136" spans="1:9" x14ac:dyDescent="0.25">
      <c r="A136" t="s">
        <v>1811</v>
      </c>
      <c r="B136" t="s">
        <v>91</v>
      </c>
      <c r="C136" t="s">
        <v>920</v>
      </c>
      <c r="D136" t="s">
        <v>1812</v>
      </c>
      <c r="E136" t="s">
        <v>919</v>
      </c>
      <c r="F136" t="s">
        <v>1425</v>
      </c>
      <c r="G136" t="s">
        <v>1426</v>
      </c>
      <c r="H136" t="s">
        <v>1427</v>
      </c>
      <c r="I136" t="s">
        <v>1428</v>
      </c>
    </row>
    <row r="137" spans="1:9" x14ac:dyDescent="0.25">
      <c r="A137" t="s">
        <v>1813</v>
      </c>
      <c r="B137" t="s">
        <v>91</v>
      </c>
      <c r="C137" t="s">
        <v>487</v>
      </c>
      <c r="D137" t="s">
        <v>1814</v>
      </c>
      <c r="E137" t="s">
        <v>1036</v>
      </c>
      <c r="F137" t="s">
        <v>1425</v>
      </c>
      <c r="G137" t="s">
        <v>1426</v>
      </c>
      <c r="H137" t="s">
        <v>1697</v>
      </c>
      <c r="I137" t="s">
        <v>1698</v>
      </c>
    </row>
    <row r="138" spans="1:9" x14ac:dyDescent="0.25">
      <c r="A138" t="s">
        <v>1815</v>
      </c>
      <c r="B138" t="s">
        <v>91</v>
      </c>
      <c r="C138" t="s">
        <v>920</v>
      </c>
      <c r="D138" t="s">
        <v>1816</v>
      </c>
      <c r="E138" t="s">
        <v>919</v>
      </c>
      <c r="F138" t="s">
        <v>1425</v>
      </c>
      <c r="G138" t="s">
        <v>1426</v>
      </c>
      <c r="H138" t="s">
        <v>1427</v>
      </c>
      <c r="I138" t="s">
        <v>1428</v>
      </c>
    </row>
    <row r="139" spans="1:9" x14ac:dyDescent="0.25">
      <c r="A139" t="s">
        <v>1817</v>
      </c>
      <c r="B139" t="s">
        <v>91</v>
      </c>
      <c r="C139" t="s">
        <v>367</v>
      </c>
      <c r="D139" t="s">
        <v>450</v>
      </c>
      <c r="E139" t="s">
        <v>553</v>
      </c>
      <c r="F139" t="s">
        <v>1445</v>
      </c>
      <c r="G139" t="s">
        <v>1446</v>
      </c>
      <c r="H139" t="s">
        <v>1447</v>
      </c>
      <c r="I139" t="s">
        <v>1448</v>
      </c>
    </row>
    <row r="140" spans="1:9" x14ac:dyDescent="0.25">
      <c r="A140" t="s">
        <v>1818</v>
      </c>
      <c r="B140" t="s">
        <v>91</v>
      </c>
      <c r="C140" t="s">
        <v>365</v>
      </c>
      <c r="D140" t="s">
        <v>366</v>
      </c>
      <c r="E140" t="s">
        <v>678</v>
      </c>
      <c r="F140" t="s">
        <v>1676</v>
      </c>
      <c r="G140" t="s">
        <v>1677</v>
      </c>
      <c r="H140" t="s">
        <v>1678</v>
      </c>
      <c r="I140" t="s">
        <v>1679</v>
      </c>
    </row>
    <row r="141" spans="1:9" x14ac:dyDescent="0.25">
      <c r="A141" t="s">
        <v>1819</v>
      </c>
      <c r="B141" t="s">
        <v>91</v>
      </c>
      <c r="C141" t="s">
        <v>330</v>
      </c>
      <c r="D141" t="s">
        <v>331</v>
      </c>
      <c r="E141" t="s">
        <v>832</v>
      </c>
      <c r="F141" t="s">
        <v>1534</v>
      </c>
      <c r="G141" t="s">
        <v>1535</v>
      </c>
      <c r="H141" t="s">
        <v>1536</v>
      </c>
      <c r="I141" t="s">
        <v>1537</v>
      </c>
    </row>
    <row r="142" spans="1:9" x14ac:dyDescent="0.25">
      <c r="A142" t="s">
        <v>1820</v>
      </c>
      <c r="B142" t="s">
        <v>91</v>
      </c>
      <c r="C142" t="s">
        <v>984</v>
      </c>
      <c r="D142" t="s">
        <v>1821</v>
      </c>
      <c r="E142" t="s">
        <v>983</v>
      </c>
      <c r="F142" t="s">
        <v>1822</v>
      </c>
      <c r="G142" t="s">
        <v>1823</v>
      </c>
      <c r="H142" t="s">
        <v>1824</v>
      </c>
      <c r="I142" t="s">
        <v>1825</v>
      </c>
    </row>
    <row r="143" spans="1:9" x14ac:dyDescent="0.25">
      <c r="A143" t="s">
        <v>1826</v>
      </c>
      <c r="B143" t="s">
        <v>91</v>
      </c>
      <c r="C143" t="s">
        <v>379</v>
      </c>
      <c r="D143" t="s">
        <v>380</v>
      </c>
      <c r="E143" t="s">
        <v>773</v>
      </c>
      <c r="F143" t="s">
        <v>1385</v>
      </c>
      <c r="G143" t="s">
        <v>1386</v>
      </c>
      <c r="H143" t="s">
        <v>1387</v>
      </c>
      <c r="I143" t="s">
        <v>1388</v>
      </c>
    </row>
    <row r="144" spans="1:9" x14ac:dyDescent="0.25">
      <c r="A144" t="s">
        <v>1827</v>
      </c>
      <c r="B144" t="s">
        <v>91</v>
      </c>
      <c r="C144" t="s">
        <v>1224</v>
      </c>
      <c r="D144" t="s">
        <v>1225</v>
      </c>
      <c r="E144" t="s">
        <v>1223</v>
      </c>
      <c r="F144" t="s">
        <v>1353</v>
      </c>
      <c r="G144" t="s">
        <v>1354</v>
      </c>
      <c r="H144" t="s">
        <v>1502</v>
      </c>
      <c r="I144" t="s">
        <v>1503</v>
      </c>
    </row>
    <row r="145" spans="1:9" x14ac:dyDescent="0.25">
      <c r="A145" t="s">
        <v>1828</v>
      </c>
      <c r="B145" t="s">
        <v>91</v>
      </c>
      <c r="C145" t="s">
        <v>335</v>
      </c>
      <c r="D145" t="s">
        <v>337</v>
      </c>
      <c r="E145" t="s">
        <v>835</v>
      </c>
      <c r="F145" t="s">
        <v>1761</v>
      </c>
      <c r="G145" t="s">
        <v>1762</v>
      </c>
      <c r="H145" t="s">
        <v>1763</v>
      </c>
      <c r="I145" t="s">
        <v>1764</v>
      </c>
    </row>
    <row r="146" spans="1:9" x14ac:dyDescent="0.25">
      <c r="A146" t="s">
        <v>1829</v>
      </c>
      <c r="B146" t="s">
        <v>91</v>
      </c>
      <c r="C146" t="s">
        <v>487</v>
      </c>
      <c r="D146" t="s">
        <v>1830</v>
      </c>
      <c r="E146" t="s">
        <v>1036</v>
      </c>
      <c r="F146" t="s">
        <v>1425</v>
      </c>
      <c r="G146" t="s">
        <v>1426</v>
      </c>
      <c r="H146" t="s">
        <v>1697</v>
      </c>
      <c r="I146" t="s">
        <v>1698</v>
      </c>
    </row>
    <row r="147" spans="1:9" x14ac:dyDescent="0.25">
      <c r="A147" t="s">
        <v>1831</v>
      </c>
      <c r="B147" t="s">
        <v>91</v>
      </c>
      <c r="C147" t="s">
        <v>460</v>
      </c>
      <c r="D147" t="s">
        <v>1832</v>
      </c>
      <c r="E147" t="s">
        <v>875</v>
      </c>
    </row>
    <row r="148" spans="1:9" x14ac:dyDescent="0.25">
      <c r="A148" t="s">
        <v>1833</v>
      </c>
      <c r="B148" t="s">
        <v>91</v>
      </c>
      <c r="C148" t="s">
        <v>432</v>
      </c>
      <c r="D148" t="s">
        <v>433</v>
      </c>
      <c r="E148" t="s">
        <v>633</v>
      </c>
      <c r="F148" t="s">
        <v>1750</v>
      </c>
      <c r="G148" t="s">
        <v>1751</v>
      </c>
      <c r="H148" t="s">
        <v>1807</v>
      </c>
      <c r="I148" t="s">
        <v>1808</v>
      </c>
    </row>
    <row r="149" spans="1:9" x14ac:dyDescent="0.25">
      <c r="A149" t="s">
        <v>1834</v>
      </c>
      <c r="B149" t="s">
        <v>91</v>
      </c>
      <c r="C149" t="s">
        <v>472</v>
      </c>
      <c r="D149" t="s">
        <v>473</v>
      </c>
      <c r="E149" t="s">
        <v>711</v>
      </c>
      <c r="F149" t="s">
        <v>1570</v>
      </c>
      <c r="G149" t="s">
        <v>1571</v>
      </c>
      <c r="H149" t="s">
        <v>1572</v>
      </c>
      <c r="I149" t="s">
        <v>1573</v>
      </c>
    </row>
    <row r="150" spans="1:9" x14ac:dyDescent="0.25">
      <c r="A150" t="s">
        <v>1835</v>
      </c>
      <c r="B150" t="s">
        <v>91</v>
      </c>
      <c r="C150" t="s">
        <v>915</v>
      </c>
      <c r="D150" t="s">
        <v>916</v>
      </c>
      <c r="E150" t="s">
        <v>914</v>
      </c>
      <c r="F150" t="s">
        <v>1522</v>
      </c>
      <c r="G150" t="s">
        <v>1523</v>
      </c>
      <c r="H150" t="s">
        <v>1704</v>
      </c>
      <c r="I150" t="s">
        <v>1705</v>
      </c>
    </row>
    <row r="151" spans="1:9" x14ac:dyDescent="0.25">
      <c r="A151" t="s">
        <v>1836</v>
      </c>
      <c r="B151" t="s">
        <v>91</v>
      </c>
      <c r="C151" t="s">
        <v>492</v>
      </c>
      <c r="D151" t="s">
        <v>493</v>
      </c>
      <c r="E151" t="s">
        <v>1108</v>
      </c>
      <c r="F151" t="s">
        <v>1837</v>
      </c>
      <c r="G151" t="s">
        <v>1838</v>
      </c>
      <c r="H151" t="s">
        <v>1839</v>
      </c>
      <c r="I151" t="s">
        <v>1840</v>
      </c>
    </row>
    <row r="152" spans="1:9" x14ac:dyDescent="0.25">
      <c r="A152" t="s">
        <v>1841</v>
      </c>
      <c r="B152" t="s">
        <v>91</v>
      </c>
      <c r="C152" t="s">
        <v>482</v>
      </c>
      <c r="D152" t="s">
        <v>627</v>
      </c>
      <c r="E152" t="s">
        <v>626</v>
      </c>
      <c r="F152" t="s">
        <v>1522</v>
      </c>
      <c r="G152" t="s">
        <v>1523</v>
      </c>
      <c r="H152" t="s">
        <v>1704</v>
      </c>
      <c r="I152" t="s">
        <v>1705</v>
      </c>
    </row>
    <row r="153" spans="1:9" x14ac:dyDescent="0.25">
      <c r="A153" t="s">
        <v>1842</v>
      </c>
      <c r="B153" t="s">
        <v>91</v>
      </c>
      <c r="C153" t="s">
        <v>170</v>
      </c>
      <c r="D153" t="s">
        <v>1843</v>
      </c>
      <c r="E153" t="s">
        <v>708</v>
      </c>
      <c r="F153" t="s">
        <v>1676</v>
      </c>
      <c r="G153" t="s">
        <v>1677</v>
      </c>
      <c r="H153" t="s">
        <v>1678</v>
      </c>
      <c r="I153" t="s">
        <v>1679</v>
      </c>
    </row>
    <row r="154" spans="1:9" x14ac:dyDescent="0.25">
      <c r="A154" t="s">
        <v>1844</v>
      </c>
      <c r="B154" t="s">
        <v>91</v>
      </c>
      <c r="C154" t="s">
        <v>163</v>
      </c>
      <c r="D154" t="s">
        <v>1845</v>
      </c>
      <c r="E154" t="s">
        <v>560</v>
      </c>
      <c r="F154" t="s">
        <v>1353</v>
      </c>
      <c r="G154" t="s">
        <v>1354</v>
      </c>
      <c r="H154" t="s">
        <v>1513</v>
      </c>
      <c r="I154" t="s">
        <v>1514</v>
      </c>
    </row>
    <row r="155" spans="1:9" x14ac:dyDescent="0.25">
      <c r="A155" t="s">
        <v>1846</v>
      </c>
      <c r="B155" t="s">
        <v>91</v>
      </c>
      <c r="C155" t="s">
        <v>379</v>
      </c>
      <c r="D155" t="s">
        <v>1847</v>
      </c>
      <c r="E155" t="s">
        <v>773</v>
      </c>
      <c r="F155" t="s">
        <v>1385</v>
      </c>
      <c r="G155" t="s">
        <v>1386</v>
      </c>
      <c r="H155" t="s">
        <v>1387</v>
      </c>
      <c r="I155" t="s">
        <v>1388</v>
      </c>
    </row>
    <row r="156" spans="1:9" x14ac:dyDescent="0.25">
      <c r="A156" t="s">
        <v>1848</v>
      </c>
      <c r="B156" t="s">
        <v>91</v>
      </c>
      <c r="C156" t="s">
        <v>979</v>
      </c>
      <c r="D156" t="s">
        <v>980</v>
      </c>
      <c r="E156" t="s">
        <v>978</v>
      </c>
      <c r="F156" t="s">
        <v>1425</v>
      </c>
      <c r="G156" t="s">
        <v>1426</v>
      </c>
      <c r="H156" t="s">
        <v>1431</v>
      </c>
      <c r="I156" t="s">
        <v>1432</v>
      </c>
    </row>
    <row r="157" spans="1:9" x14ac:dyDescent="0.25">
      <c r="A157" t="s">
        <v>1849</v>
      </c>
      <c r="B157" t="s">
        <v>91</v>
      </c>
      <c r="C157" t="s">
        <v>163</v>
      </c>
      <c r="D157" t="s">
        <v>1850</v>
      </c>
      <c r="E157" t="s">
        <v>560</v>
      </c>
      <c r="F157" t="s">
        <v>1353</v>
      </c>
      <c r="G157" t="s">
        <v>1354</v>
      </c>
      <c r="H157" t="s">
        <v>1355</v>
      </c>
      <c r="I157" t="s">
        <v>1356</v>
      </c>
    </row>
    <row r="158" spans="1:9" x14ac:dyDescent="0.25">
      <c r="A158" t="s">
        <v>1851</v>
      </c>
      <c r="B158" t="s">
        <v>91</v>
      </c>
      <c r="C158" t="s">
        <v>920</v>
      </c>
      <c r="D158" t="s">
        <v>1852</v>
      </c>
      <c r="E158" t="s">
        <v>919</v>
      </c>
      <c r="F158" t="s">
        <v>1425</v>
      </c>
      <c r="G158" t="s">
        <v>1426</v>
      </c>
      <c r="H158" t="s">
        <v>1427</v>
      </c>
      <c r="I158" t="s">
        <v>1428</v>
      </c>
    </row>
    <row r="159" spans="1:9" x14ac:dyDescent="0.25">
      <c r="A159" t="s">
        <v>1853</v>
      </c>
      <c r="B159" t="s">
        <v>91</v>
      </c>
      <c r="C159" t="s">
        <v>499</v>
      </c>
      <c r="D159" t="s">
        <v>500</v>
      </c>
      <c r="E159" t="s">
        <v>1164</v>
      </c>
      <c r="F159" t="s">
        <v>1626</v>
      </c>
      <c r="G159" t="s">
        <v>1627</v>
      </c>
      <c r="H159" t="s">
        <v>1628</v>
      </c>
      <c r="I159" t="s">
        <v>1629</v>
      </c>
    </row>
    <row r="160" spans="1:9" x14ac:dyDescent="0.25">
      <c r="A160" t="s">
        <v>1854</v>
      </c>
      <c r="B160" t="s">
        <v>91</v>
      </c>
      <c r="C160" t="s">
        <v>241</v>
      </c>
      <c r="D160" t="s">
        <v>242</v>
      </c>
      <c r="E160" t="s">
        <v>1008</v>
      </c>
      <c r="F160" t="s">
        <v>1626</v>
      </c>
      <c r="G160" t="s">
        <v>1627</v>
      </c>
      <c r="H160" t="s">
        <v>1628</v>
      </c>
      <c r="I160" t="s">
        <v>1629</v>
      </c>
    </row>
    <row r="161" spans="1:9" x14ac:dyDescent="0.25">
      <c r="A161" t="s">
        <v>1855</v>
      </c>
      <c r="B161" t="s">
        <v>91</v>
      </c>
      <c r="C161" t="s">
        <v>1149</v>
      </c>
      <c r="D161" t="s">
        <v>1856</v>
      </c>
      <c r="E161" t="s">
        <v>1148</v>
      </c>
      <c r="F161" t="s">
        <v>1406</v>
      </c>
      <c r="G161" t="s">
        <v>1407</v>
      </c>
      <c r="H161" t="s">
        <v>1644</v>
      </c>
      <c r="I161" t="s">
        <v>1645</v>
      </c>
    </row>
    <row r="162" spans="1:9" x14ac:dyDescent="0.25">
      <c r="A162" t="s">
        <v>1857</v>
      </c>
      <c r="B162" t="s">
        <v>91</v>
      </c>
      <c r="C162" t="s">
        <v>220</v>
      </c>
      <c r="D162" t="s">
        <v>221</v>
      </c>
      <c r="E162" t="s">
        <v>754</v>
      </c>
      <c r="F162" t="s">
        <v>1676</v>
      </c>
      <c r="G162" t="s">
        <v>1677</v>
      </c>
      <c r="H162" t="s">
        <v>1678</v>
      </c>
      <c r="I162" t="s">
        <v>1679</v>
      </c>
    </row>
    <row r="163" spans="1:9" x14ac:dyDescent="0.25">
      <c r="A163" t="s">
        <v>1858</v>
      </c>
      <c r="B163" t="s">
        <v>91</v>
      </c>
      <c r="C163" t="s">
        <v>920</v>
      </c>
      <c r="D163" t="s">
        <v>1859</v>
      </c>
      <c r="E163" t="s">
        <v>919</v>
      </c>
      <c r="F163" t="s">
        <v>1425</v>
      </c>
      <c r="G163" t="s">
        <v>1426</v>
      </c>
      <c r="H163" t="s">
        <v>1427</v>
      </c>
      <c r="I163" t="s">
        <v>1428</v>
      </c>
    </row>
    <row r="164" spans="1:9" x14ac:dyDescent="0.25">
      <c r="A164" t="s">
        <v>1860</v>
      </c>
      <c r="B164" t="s">
        <v>91</v>
      </c>
      <c r="C164" t="s">
        <v>131</v>
      </c>
      <c r="D164" t="s">
        <v>1861</v>
      </c>
      <c r="E164" t="s">
        <v>645</v>
      </c>
      <c r="F164" t="s">
        <v>1606</v>
      </c>
      <c r="G164" t="s">
        <v>1607</v>
      </c>
      <c r="H164" t="s">
        <v>1862</v>
      </c>
      <c r="I164" t="s">
        <v>1863</v>
      </c>
    </row>
    <row r="165" spans="1:9" x14ac:dyDescent="0.25">
      <c r="A165" t="s">
        <v>1864</v>
      </c>
      <c r="B165" t="s">
        <v>91</v>
      </c>
      <c r="C165" t="s">
        <v>335</v>
      </c>
      <c r="D165" t="s">
        <v>336</v>
      </c>
      <c r="E165" t="s">
        <v>835</v>
      </c>
      <c r="F165" t="s">
        <v>1761</v>
      </c>
      <c r="G165" t="s">
        <v>1762</v>
      </c>
      <c r="H165" t="s">
        <v>1763</v>
      </c>
      <c r="I165" t="s">
        <v>1764</v>
      </c>
    </row>
    <row r="166" spans="1:9" x14ac:dyDescent="0.25">
      <c r="A166" t="s">
        <v>1865</v>
      </c>
      <c r="B166" t="s">
        <v>91</v>
      </c>
      <c r="C166" t="s">
        <v>205</v>
      </c>
      <c r="D166" t="s">
        <v>347</v>
      </c>
      <c r="E166" t="s">
        <v>651</v>
      </c>
      <c r="F166" t="s">
        <v>1731</v>
      </c>
      <c r="G166" t="s">
        <v>1732</v>
      </c>
      <c r="H166" t="s">
        <v>1777</v>
      </c>
      <c r="I166" t="s">
        <v>1778</v>
      </c>
    </row>
    <row r="167" spans="1:9" x14ac:dyDescent="0.25">
      <c r="A167" t="s">
        <v>1866</v>
      </c>
      <c r="B167" t="s">
        <v>91</v>
      </c>
      <c r="C167" t="s">
        <v>441</v>
      </c>
      <c r="D167" t="s">
        <v>442</v>
      </c>
      <c r="E167" t="s">
        <v>852</v>
      </c>
      <c r="F167" t="s">
        <v>1425</v>
      </c>
      <c r="G167" t="s">
        <v>1426</v>
      </c>
      <c r="H167" t="s">
        <v>1431</v>
      </c>
      <c r="I167" t="s">
        <v>1432</v>
      </c>
    </row>
    <row r="168" spans="1:9" x14ac:dyDescent="0.25">
      <c r="A168" t="s">
        <v>1867</v>
      </c>
      <c r="B168" t="s">
        <v>91</v>
      </c>
      <c r="C168" t="s">
        <v>195</v>
      </c>
      <c r="D168" t="s">
        <v>299</v>
      </c>
      <c r="E168" t="s">
        <v>961</v>
      </c>
      <c r="F168" t="s">
        <v>1868</v>
      </c>
      <c r="G168" t="s">
        <v>1869</v>
      </c>
      <c r="H168" t="s">
        <v>1870</v>
      </c>
      <c r="I168" t="s">
        <v>1871</v>
      </c>
    </row>
    <row r="169" spans="1:9" x14ac:dyDescent="0.25">
      <c r="A169" t="s">
        <v>1872</v>
      </c>
      <c r="B169" t="s">
        <v>91</v>
      </c>
      <c r="C169" t="s">
        <v>110</v>
      </c>
      <c r="D169" t="s">
        <v>1873</v>
      </c>
      <c r="E169" t="s">
        <v>822</v>
      </c>
      <c r="F169" t="s">
        <v>1506</v>
      </c>
      <c r="G169" t="s">
        <v>1507</v>
      </c>
      <c r="H169" t="s">
        <v>1664</v>
      </c>
      <c r="I169" t="s">
        <v>1665</v>
      </c>
    </row>
    <row r="170" spans="1:9" x14ac:dyDescent="0.25">
      <c r="A170" t="s">
        <v>1874</v>
      </c>
      <c r="B170" t="s">
        <v>91</v>
      </c>
      <c r="C170" t="s">
        <v>441</v>
      </c>
      <c r="D170" t="s">
        <v>1875</v>
      </c>
      <c r="E170" t="s">
        <v>852</v>
      </c>
      <c r="F170" t="s">
        <v>1425</v>
      </c>
      <c r="G170" t="s">
        <v>1426</v>
      </c>
      <c r="H170" t="s">
        <v>1431</v>
      </c>
      <c r="I170" t="s">
        <v>1432</v>
      </c>
    </row>
    <row r="171" spans="1:9" x14ac:dyDescent="0.25">
      <c r="A171" t="s">
        <v>1876</v>
      </c>
      <c r="B171" t="s">
        <v>91</v>
      </c>
      <c r="C171" t="s">
        <v>1253</v>
      </c>
      <c r="D171" t="s">
        <v>1254</v>
      </c>
      <c r="E171" t="s">
        <v>1252</v>
      </c>
      <c r="F171" t="s">
        <v>1731</v>
      </c>
      <c r="G171" t="s">
        <v>1732</v>
      </c>
      <c r="H171" t="s">
        <v>1877</v>
      </c>
      <c r="I171" t="s">
        <v>1878</v>
      </c>
    </row>
    <row r="172" spans="1:9" x14ac:dyDescent="0.25">
      <c r="A172" t="s">
        <v>1879</v>
      </c>
      <c r="B172" t="s">
        <v>91</v>
      </c>
      <c r="C172" t="s">
        <v>1300</v>
      </c>
      <c r="D172" t="s">
        <v>1880</v>
      </c>
      <c r="E172" t="s">
        <v>1299</v>
      </c>
    </row>
    <row r="173" spans="1:9" x14ac:dyDescent="0.25">
      <c r="A173" t="s">
        <v>1881</v>
      </c>
      <c r="B173" t="s">
        <v>91</v>
      </c>
      <c r="C173" t="s">
        <v>1176</v>
      </c>
      <c r="D173" t="s">
        <v>1177</v>
      </c>
      <c r="E173" t="s">
        <v>1175</v>
      </c>
      <c r="F173" t="s">
        <v>1707</v>
      </c>
      <c r="G173" t="s">
        <v>1708</v>
      </c>
      <c r="H173" t="s">
        <v>1709</v>
      </c>
      <c r="I173" t="s">
        <v>1710</v>
      </c>
    </row>
    <row r="174" spans="1:9" x14ac:dyDescent="0.25">
      <c r="A174" t="s">
        <v>1882</v>
      </c>
      <c r="B174" t="s">
        <v>91</v>
      </c>
      <c r="C174" t="s">
        <v>487</v>
      </c>
      <c r="D174" t="s">
        <v>1883</v>
      </c>
      <c r="E174" t="s">
        <v>1036</v>
      </c>
      <c r="F174" t="s">
        <v>1425</v>
      </c>
      <c r="G174" t="s">
        <v>1426</v>
      </c>
      <c r="H174" t="s">
        <v>1697</v>
      </c>
      <c r="I174" t="s">
        <v>1698</v>
      </c>
    </row>
    <row r="175" spans="1:9" x14ac:dyDescent="0.25">
      <c r="A175" t="s">
        <v>1884</v>
      </c>
      <c r="B175" t="s">
        <v>91</v>
      </c>
      <c r="C175" t="s">
        <v>99</v>
      </c>
      <c r="D175" t="s">
        <v>1885</v>
      </c>
      <c r="E175" t="s">
        <v>733</v>
      </c>
      <c r="F175" t="s">
        <v>1801</v>
      </c>
      <c r="G175" t="s">
        <v>1802</v>
      </c>
      <c r="H175" t="s">
        <v>1803</v>
      </c>
      <c r="I175" t="s">
        <v>1804</v>
      </c>
    </row>
    <row r="176" spans="1:9" x14ac:dyDescent="0.25">
      <c r="A176" t="s">
        <v>1886</v>
      </c>
      <c r="B176" t="s">
        <v>91</v>
      </c>
      <c r="C176" t="s">
        <v>228</v>
      </c>
      <c r="D176" t="s">
        <v>229</v>
      </c>
      <c r="E176" t="s">
        <v>1033</v>
      </c>
      <c r="F176" t="s">
        <v>1419</v>
      </c>
      <c r="G176" t="s">
        <v>1420</v>
      </c>
      <c r="H176" t="s">
        <v>1887</v>
      </c>
      <c r="I176" t="s">
        <v>1888</v>
      </c>
    </row>
    <row r="177" spans="1:9" x14ac:dyDescent="0.25">
      <c r="A177" t="s">
        <v>1889</v>
      </c>
      <c r="B177" t="s">
        <v>91</v>
      </c>
      <c r="C177" t="s">
        <v>163</v>
      </c>
      <c r="D177" t="s">
        <v>1890</v>
      </c>
      <c r="E177" t="s">
        <v>560</v>
      </c>
      <c r="F177" t="s">
        <v>1353</v>
      </c>
      <c r="G177" t="s">
        <v>1354</v>
      </c>
      <c r="H177" t="s">
        <v>1381</v>
      </c>
      <c r="I177" t="s">
        <v>1382</v>
      </c>
    </row>
    <row r="178" spans="1:9" x14ac:dyDescent="0.25">
      <c r="A178" t="s">
        <v>1891</v>
      </c>
      <c r="B178" t="s">
        <v>91</v>
      </c>
      <c r="C178" t="s">
        <v>1029</v>
      </c>
      <c r="D178" t="s">
        <v>1892</v>
      </c>
      <c r="E178" t="s">
        <v>1028</v>
      </c>
      <c r="F178" t="s">
        <v>1419</v>
      </c>
      <c r="G178" t="s">
        <v>1420</v>
      </c>
      <c r="H178" t="s">
        <v>1743</v>
      </c>
      <c r="I178" t="s">
        <v>1744</v>
      </c>
    </row>
    <row r="179" spans="1:9" x14ac:dyDescent="0.25">
      <c r="A179" t="s">
        <v>1893</v>
      </c>
      <c r="B179" t="s">
        <v>91</v>
      </c>
      <c r="C179" t="s">
        <v>140</v>
      </c>
      <c r="D179" t="s">
        <v>1145</v>
      </c>
      <c r="E179" t="s">
        <v>1144</v>
      </c>
      <c r="F179" t="s">
        <v>1894</v>
      </c>
      <c r="G179" t="s">
        <v>1895</v>
      </c>
      <c r="H179" t="s">
        <v>1896</v>
      </c>
      <c r="I179" t="s">
        <v>1897</v>
      </c>
    </row>
    <row r="180" spans="1:9" x14ac:dyDescent="0.25">
      <c r="A180" t="s">
        <v>1898</v>
      </c>
      <c r="B180" t="s">
        <v>91</v>
      </c>
      <c r="C180" t="s">
        <v>243</v>
      </c>
      <c r="D180" t="s">
        <v>291</v>
      </c>
      <c r="E180" t="s">
        <v>950</v>
      </c>
      <c r="F180" t="s">
        <v>1434</v>
      </c>
      <c r="G180" t="s">
        <v>1435</v>
      </c>
      <c r="H180" t="s">
        <v>1590</v>
      </c>
      <c r="I180" t="s">
        <v>1591</v>
      </c>
    </row>
    <row r="181" spans="1:9" x14ac:dyDescent="0.25">
      <c r="A181" t="s">
        <v>1899</v>
      </c>
      <c r="B181" t="s">
        <v>91</v>
      </c>
      <c r="C181" t="s">
        <v>205</v>
      </c>
      <c r="D181" t="s">
        <v>207</v>
      </c>
      <c r="E181" t="s">
        <v>651</v>
      </c>
      <c r="F181" t="s">
        <v>1731</v>
      </c>
      <c r="G181" t="s">
        <v>1732</v>
      </c>
      <c r="H181" t="s">
        <v>1777</v>
      </c>
      <c r="I181" t="s">
        <v>1778</v>
      </c>
    </row>
    <row r="182" spans="1:9" x14ac:dyDescent="0.25">
      <c r="A182" t="s">
        <v>1900</v>
      </c>
      <c r="B182" t="s">
        <v>91</v>
      </c>
      <c r="C182" t="s">
        <v>984</v>
      </c>
      <c r="D182" t="s">
        <v>1901</v>
      </c>
      <c r="E182" t="s">
        <v>983</v>
      </c>
      <c r="F182" t="s">
        <v>1822</v>
      </c>
      <c r="G182" t="s">
        <v>1823</v>
      </c>
      <c r="H182" t="s">
        <v>1824</v>
      </c>
      <c r="I182" t="s">
        <v>1825</v>
      </c>
    </row>
    <row r="183" spans="1:9" x14ac:dyDescent="0.25">
      <c r="A183" t="s">
        <v>1902</v>
      </c>
      <c r="B183" t="s">
        <v>91</v>
      </c>
      <c r="C183" t="s">
        <v>296</v>
      </c>
      <c r="D183" t="s">
        <v>297</v>
      </c>
      <c r="E183" t="s">
        <v>606</v>
      </c>
      <c r="F183" t="s">
        <v>1400</v>
      </c>
      <c r="G183" t="s">
        <v>1401</v>
      </c>
      <c r="H183" t="s">
        <v>1402</v>
      </c>
      <c r="I183" t="s">
        <v>1403</v>
      </c>
    </row>
    <row r="184" spans="1:9" x14ac:dyDescent="0.25">
      <c r="A184" t="s">
        <v>1903</v>
      </c>
      <c r="B184" t="s">
        <v>91</v>
      </c>
      <c r="C184" t="s">
        <v>292</v>
      </c>
      <c r="D184" t="s">
        <v>1904</v>
      </c>
      <c r="E184" t="s">
        <v>691</v>
      </c>
      <c r="F184" t="s">
        <v>1822</v>
      </c>
      <c r="G184" t="s">
        <v>1823</v>
      </c>
      <c r="H184" t="s">
        <v>1824</v>
      </c>
      <c r="I184" t="s">
        <v>1825</v>
      </c>
    </row>
    <row r="185" spans="1:9" x14ac:dyDescent="0.25">
      <c r="A185" t="s">
        <v>1905</v>
      </c>
      <c r="B185" t="s">
        <v>91</v>
      </c>
      <c r="C185" t="s">
        <v>128</v>
      </c>
      <c r="D185" t="s">
        <v>129</v>
      </c>
      <c r="E185" t="s">
        <v>580</v>
      </c>
      <c r="F185" t="s">
        <v>1565</v>
      </c>
      <c r="G185" t="s">
        <v>1566</v>
      </c>
      <c r="H185" t="s">
        <v>1906</v>
      </c>
      <c r="I185" t="s">
        <v>1907</v>
      </c>
    </row>
    <row r="186" spans="1:9" x14ac:dyDescent="0.25">
      <c r="A186" t="s">
        <v>1908</v>
      </c>
      <c r="B186" t="s">
        <v>91</v>
      </c>
      <c r="C186" t="s">
        <v>920</v>
      </c>
      <c r="D186" t="s">
        <v>1909</v>
      </c>
      <c r="E186" t="s">
        <v>919</v>
      </c>
      <c r="F186" t="s">
        <v>1425</v>
      </c>
      <c r="G186" t="s">
        <v>1426</v>
      </c>
      <c r="H186" t="s">
        <v>1427</v>
      </c>
      <c r="I186" t="s">
        <v>1428</v>
      </c>
    </row>
    <row r="187" spans="1:9" x14ac:dyDescent="0.25">
      <c r="A187" t="s">
        <v>1910</v>
      </c>
      <c r="B187" t="s">
        <v>91</v>
      </c>
      <c r="C187" t="s">
        <v>457</v>
      </c>
      <c r="D187" t="s">
        <v>458</v>
      </c>
      <c r="E187" t="s">
        <v>892</v>
      </c>
      <c r="F187" t="s">
        <v>1650</v>
      </c>
      <c r="G187" t="s">
        <v>1651</v>
      </c>
      <c r="H187" t="s">
        <v>1661</v>
      </c>
      <c r="I187" t="s">
        <v>1662</v>
      </c>
    </row>
    <row r="188" spans="1:9" x14ac:dyDescent="0.25">
      <c r="A188" t="s">
        <v>1911</v>
      </c>
      <c r="B188" t="s">
        <v>91</v>
      </c>
      <c r="C188" t="s">
        <v>155</v>
      </c>
      <c r="D188" t="s">
        <v>156</v>
      </c>
      <c r="E188" t="s">
        <v>687</v>
      </c>
      <c r="F188" t="s">
        <v>1534</v>
      </c>
      <c r="G188" t="s">
        <v>1535</v>
      </c>
      <c r="H188" t="s">
        <v>1536</v>
      </c>
      <c r="I188" t="s">
        <v>1537</v>
      </c>
    </row>
    <row r="189" spans="1:9" x14ac:dyDescent="0.25">
      <c r="A189" t="s">
        <v>1912</v>
      </c>
      <c r="B189" t="s">
        <v>91</v>
      </c>
      <c r="C189" t="s">
        <v>122</v>
      </c>
      <c r="D189" t="s">
        <v>324</v>
      </c>
      <c r="E189" t="s">
        <v>537</v>
      </c>
      <c r="F189" t="s">
        <v>1450</v>
      </c>
      <c r="G189" t="s">
        <v>1451</v>
      </c>
      <c r="H189" t="s">
        <v>1452</v>
      </c>
      <c r="I189" t="s">
        <v>1453</v>
      </c>
    </row>
    <row r="190" spans="1:9" x14ac:dyDescent="0.25">
      <c r="A190" t="s">
        <v>1913</v>
      </c>
      <c r="B190" t="s">
        <v>91</v>
      </c>
      <c r="C190" t="s">
        <v>198</v>
      </c>
      <c r="D190" t="s">
        <v>199</v>
      </c>
      <c r="E190" t="s">
        <v>563</v>
      </c>
      <c r="F190" t="s">
        <v>1445</v>
      </c>
      <c r="G190" t="s">
        <v>1446</v>
      </c>
      <c r="H190" t="s">
        <v>1447</v>
      </c>
      <c r="I190" t="s">
        <v>1448</v>
      </c>
    </row>
    <row r="191" spans="1:9" x14ac:dyDescent="0.25">
      <c r="A191" t="s">
        <v>1914</v>
      </c>
      <c r="B191" t="s">
        <v>91</v>
      </c>
      <c r="C191" t="s">
        <v>341</v>
      </c>
      <c r="D191" t="s">
        <v>431</v>
      </c>
      <c r="E191" t="s">
        <v>600</v>
      </c>
      <c r="F191" t="s">
        <v>1370</v>
      </c>
      <c r="G191" t="s">
        <v>1371</v>
      </c>
      <c r="H191" t="s">
        <v>1372</v>
      </c>
      <c r="I191" t="s">
        <v>1373</v>
      </c>
    </row>
    <row r="192" spans="1:9" x14ac:dyDescent="0.25">
      <c r="A192" t="s">
        <v>1915</v>
      </c>
      <c r="B192" t="s">
        <v>91</v>
      </c>
      <c r="C192" t="s">
        <v>905</v>
      </c>
      <c r="D192" t="s">
        <v>906</v>
      </c>
      <c r="E192" t="s">
        <v>904</v>
      </c>
      <c r="F192" t="s">
        <v>1414</v>
      </c>
      <c r="G192" t="s">
        <v>1415</v>
      </c>
      <c r="H192" t="s">
        <v>1916</v>
      </c>
      <c r="I192" t="s">
        <v>1917</v>
      </c>
    </row>
    <row r="193" spans="1:9" x14ac:dyDescent="0.25">
      <c r="A193" t="s">
        <v>1918</v>
      </c>
      <c r="B193" t="s">
        <v>91</v>
      </c>
      <c r="C193" t="s">
        <v>292</v>
      </c>
      <c r="D193" t="s">
        <v>1919</v>
      </c>
      <c r="E193" t="s">
        <v>691</v>
      </c>
      <c r="F193" t="s">
        <v>1868</v>
      </c>
      <c r="G193" t="s">
        <v>1869</v>
      </c>
      <c r="H193" t="s">
        <v>1870</v>
      </c>
      <c r="I193" t="s">
        <v>1871</v>
      </c>
    </row>
    <row r="194" spans="1:9" x14ac:dyDescent="0.25">
      <c r="A194" t="s">
        <v>1920</v>
      </c>
      <c r="B194" t="s">
        <v>91</v>
      </c>
      <c r="C194" t="s">
        <v>99</v>
      </c>
      <c r="D194" t="s">
        <v>101</v>
      </c>
      <c r="E194" t="s">
        <v>733</v>
      </c>
      <c r="F194" t="s">
        <v>1801</v>
      </c>
      <c r="G194" t="s">
        <v>1802</v>
      </c>
      <c r="H194" t="s">
        <v>1803</v>
      </c>
      <c r="I194" t="s">
        <v>1804</v>
      </c>
    </row>
    <row r="195" spans="1:9" x14ac:dyDescent="0.25">
      <c r="A195" t="s">
        <v>1921</v>
      </c>
      <c r="B195" t="s">
        <v>91</v>
      </c>
      <c r="C195" t="s">
        <v>190</v>
      </c>
      <c r="D195" t="s">
        <v>191</v>
      </c>
      <c r="E195" t="s">
        <v>623</v>
      </c>
      <c r="F195" t="s">
        <v>1522</v>
      </c>
      <c r="G195" t="s">
        <v>1523</v>
      </c>
      <c r="H195" t="s">
        <v>1524</v>
      </c>
      <c r="I195" t="s">
        <v>1525</v>
      </c>
    </row>
    <row r="196" spans="1:9" x14ac:dyDescent="0.25">
      <c r="A196" t="s">
        <v>1922</v>
      </c>
      <c r="B196" t="s">
        <v>91</v>
      </c>
      <c r="C196" t="s">
        <v>348</v>
      </c>
      <c r="D196" t="s">
        <v>1923</v>
      </c>
      <c r="E196" t="s">
        <v>619</v>
      </c>
      <c r="F196" t="s">
        <v>1414</v>
      </c>
      <c r="G196" t="s">
        <v>1415</v>
      </c>
      <c r="H196" t="s">
        <v>1416</v>
      </c>
      <c r="I196" t="s">
        <v>1417</v>
      </c>
    </row>
    <row r="197" spans="1:9" x14ac:dyDescent="0.25">
      <c r="A197" t="s">
        <v>1924</v>
      </c>
      <c r="B197" t="s">
        <v>91</v>
      </c>
      <c r="C197" t="s">
        <v>163</v>
      </c>
      <c r="D197" t="s">
        <v>1925</v>
      </c>
      <c r="E197" t="s">
        <v>560</v>
      </c>
      <c r="F197" t="s">
        <v>1353</v>
      </c>
      <c r="G197" t="s">
        <v>1354</v>
      </c>
      <c r="H197" t="s">
        <v>1558</v>
      </c>
      <c r="I197" t="s">
        <v>1559</v>
      </c>
    </row>
    <row r="198" spans="1:9" x14ac:dyDescent="0.25">
      <c r="A198" t="s">
        <v>1926</v>
      </c>
      <c r="B198" t="s">
        <v>91</v>
      </c>
      <c r="C198" t="s">
        <v>140</v>
      </c>
      <c r="D198" t="s">
        <v>1927</v>
      </c>
      <c r="E198" t="s">
        <v>1144</v>
      </c>
    </row>
    <row r="199" spans="1:9" x14ac:dyDescent="0.25">
      <c r="A199" t="s">
        <v>1928</v>
      </c>
      <c r="B199" t="s">
        <v>91</v>
      </c>
      <c r="C199" t="s">
        <v>888</v>
      </c>
      <c r="D199" t="s">
        <v>889</v>
      </c>
      <c r="E199" t="s">
        <v>887</v>
      </c>
      <c r="F199" t="s">
        <v>1626</v>
      </c>
      <c r="G199" t="s">
        <v>1627</v>
      </c>
      <c r="H199" t="s">
        <v>1929</v>
      </c>
      <c r="I199" t="s">
        <v>1930</v>
      </c>
    </row>
    <row r="200" spans="1:9" x14ac:dyDescent="0.25">
      <c r="A200" t="s">
        <v>1931</v>
      </c>
      <c r="B200" t="s">
        <v>91</v>
      </c>
      <c r="C200" t="s">
        <v>457</v>
      </c>
      <c r="D200" t="s">
        <v>893</v>
      </c>
      <c r="E200" t="s">
        <v>892</v>
      </c>
      <c r="F200" t="s">
        <v>1650</v>
      </c>
      <c r="G200" t="s">
        <v>1651</v>
      </c>
      <c r="H200" t="s">
        <v>1932</v>
      </c>
      <c r="I200" t="s">
        <v>1933</v>
      </c>
    </row>
    <row r="201" spans="1:9" x14ac:dyDescent="0.25">
      <c r="A201" t="s">
        <v>1934</v>
      </c>
      <c r="B201" t="s">
        <v>91</v>
      </c>
      <c r="C201" t="s">
        <v>261</v>
      </c>
      <c r="D201" t="s">
        <v>263</v>
      </c>
      <c r="E201" t="s">
        <v>946</v>
      </c>
      <c r="F201" t="s">
        <v>1489</v>
      </c>
      <c r="G201" t="s">
        <v>1490</v>
      </c>
      <c r="H201" t="s">
        <v>1935</v>
      </c>
      <c r="I201" t="s">
        <v>1936</v>
      </c>
    </row>
    <row r="202" spans="1:9" x14ac:dyDescent="0.25">
      <c r="A202" t="s">
        <v>1937</v>
      </c>
      <c r="B202" t="s">
        <v>91</v>
      </c>
      <c r="C202" t="s">
        <v>490</v>
      </c>
      <c r="D202" t="s">
        <v>1938</v>
      </c>
      <c r="E202" t="s">
        <v>615</v>
      </c>
      <c r="F202" t="s">
        <v>1414</v>
      </c>
      <c r="G202" t="s">
        <v>1415</v>
      </c>
      <c r="H202" t="s">
        <v>1768</v>
      </c>
      <c r="I202" t="s">
        <v>1769</v>
      </c>
    </row>
    <row r="203" spans="1:9" x14ac:dyDescent="0.25">
      <c r="A203" t="s">
        <v>1939</v>
      </c>
      <c r="B203" t="s">
        <v>91</v>
      </c>
      <c r="C203" t="s">
        <v>245</v>
      </c>
      <c r="D203" t="s">
        <v>246</v>
      </c>
      <c r="E203" t="s">
        <v>1065</v>
      </c>
      <c r="F203" t="s">
        <v>1445</v>
      </c>
      <c r="G203" t="s">
        <v>1446</v>
      </c>
      <c r="H203" t="s">
        <v>1940</v>
      </c>
      <c r="I203" t="s">
        <v>1941</v>
      </c>
    </row>
    <row r="204" spans="1:9" x14ac:dyDescent="0.25">
      <c r="A204" t="s">
        <v>1942</v>
      </c>
      <c r="B204" t="s">
        <v>91</v>
      </c>
      <c r="C204" t="s">
        <v>472</v>
      </c>
      <c r="D204" t="s">
        <v>1943</v>
      </c>
      <c r="E204" t="s">
        <v>711</v>
      </c>
      <c r="F204" t="s">
        <v>1570</v>
      </c>
      <c r="G204" t="s">
        <v>1571</v>
      </c>
      <c r="H204" t="s">
        <v>1572</v>
      </c>
      <c r="I204" t="s">
        <v>1573</v>
      </c>
    </row>
    <row r="205" spans="1:9" x14ac:dyDescent="0.25">
      <c r="A205" t="s">
        <v>1944</v>
      </c>
      <c r="B205" t="s">
        <v>91</v>
      </c>
      <c r="C205" t="s">
        <v>200</v>
      </c>
      <c r="D205" t="s">
        <v>202</v>
      </c>
      <c r="E205" t="s">
        <v>757</v>
      </c>
      <c r="F205" t="s">
        <v>1406</v>
      </c>
      <c r="G205" t="s">
        <v>1407</v>
      </c>
      <c r="H205" t="s">
        <v>1638</v>
      </c>
      <c r="I205" t="s">
        <v>1639</v>
      </c>
    </row>
    <row r="206" spans="1:9" x14ac:dyDescent="0.25">
      <c r="A206" t="s">
        <v>1945</v>
      </c>
      <c r="B206" t="s">
        <v>91</v>
      </c>
      <c r="C206" t="s">
        <v>102</v>
      </c>
      <c r="D206" t="s">
        <v>103</v>
      </c>
      <c r="E206" t="s">
        <v>603</v>
      </c>
      <c r="F206" t="s">
        <v>1565</v>
      </c>
      <c r="G206" t="s">
        <v>1566</v>
      </c>
      <c r="H206" t="s">
        <v>1946</v>
      </c>
      <c r="I206" t="s">
        <v>1947</v>
      </c>
    </row>
    <row r="207" spans="1:9" x14ac:dyDescent="0.25">
      <c r="A207" t="s">
        <v>1948</v>
      </c>
      <c r="B207" t="s">
        <v>91</v>
      </c>
      <c r="C207" t="s">
        <v>460</v>
      </c>
      <c r="D207" t="s">
        <v>876</v>
      </c>
      <c r="E207" t="s">
        <v>875</v>
      </c>
      <c r="F207" t="s">
        <v>1445</v>
      </c>
      <c r="G207" t="s">
        <v>1446</v>
      </c>
      <c r="H207" t="s">
        <v>1949</v>
      </c>
      <c r="I207" t="s">
        <v>1950</v>
      </c>
    </row>
    <row r="208" spans="1:9" x14ac:dyDescent="0.25">
      <c r="A208" t="s">
        <v>1951</v>
      </c>
      <c r="B208" t="s">
        <v>91</v>
      </c>
      <c r="C208" t="s">
        <v>312</v>
      </c>
      <c r="D208" t="s">
        <v>456</v>
      </c>
      <c r="E208" t="s">
        <v>573</v>
      </c>
      <c r="F208" t="s">
        <v>1731</v>
      </c>
      <c r="G208" t="s">
        <v>1732</v>
      </c>
      <c r="H208" t="s">
        <v>1952</v>
      </c>
      <c r="I208" t="s">
        <v>1953</v>
      </c>
    </row>
    <row r="209" spans="1:9" x14ac:dyDescent="0.25">
      <c r="A209" t="s">
        <v>1954</v>
      </c>
      <c r="B209" t="s">
        <v>91</v>
      </c>
      <c r="C209" t="s">
        <v>397</v>
      </c>
      <c r="D209" t="s">
        <v>398</v>
      </c>
      <c r="E209" t="s">
        <v>1105</v>
      </c>
      <c r="F209" t="s">
        <v>1796</v>
      </c>
      <c r="G209" t="s">
        <v>1797</v>
      </c>
      <c r="H209" t="s">
        <v>1955</v>
      </c>
      <c r="I209" t="s">
        <v>1956</v>
      </c>
    </row>
    <row r="210" spans="1:9" x14ac:dyDescent="0.25">
      <c r="A210" t="s">
        <v>1957</v>
      </c>
      <c r="B210" t="s">
        <v>91</v>
      </c>
      <c r="C210" t="s">
        <v>110</v>
      </c>
      <c r="D210" t="s">
        <v>428</v>
      </c>
      <c r="E210" t="s">
        <v>822</v>
      </c>
      <c r="F210" t="s">
        <v>1506</v>
      </c>
      <c r="G210" t="s">
        <v>1507</v>
      </c>
      <c r="H210" t="s">
        <v>1958</v>
      </c>
      <c r="I210" t="s">
        <v>1959</v>
      </c>
    </row>
    <row r="211" spans="1:9" x14ac:dyDescent="0.25">
      <c r="A211" t="s">
        <v>1960</v>
      </c>
      <c r="B211" t="s">
        <v>91</v>
      </c>
      <c r="C211" t="s">
        <v>312</v>
      </c>
      <c r="D211" t="s">
        <v>1961</v>
      </c>
      <c r="E211" t="s">
        <v>573</v>
      </c>
      <c r="F211" t="s">
        <v>1731</v>
      </c>
      <c r="G211" t="s">
        <v>1732</v>
      </c>
      <c r="H211" t="s">
        <v>1952</v>
      </c>
      <c r="I211" t="s">
        <v>1953</v>
      </c>
    </row>
    <row r="212" spans="1:9" x14ac:dyDescent="0.25">
      <c r="A212" t="s">
        <v>1962</v>
      </c>
      <c r="B212" t="s">
        <v>91</v>
      </c>
      <c r="C212" t="s">
        <v>376</v>
      </c>
      <c r="D212" t="s">
        <v>439</v>
      </c>
      <c r="E212" t="s">
        <v>586</v>
      </c>
      <c r="F212" t="s">
        <v>1725</v>
      </c>
      <c r="G212" t="s">
        <v>1726</v>
      </c>
      <c r="H212" t="s">
        <v>1727</v>
      </c>
      <c r="I212" t="s">
        <v>1728</v>
      </c>
    </row>
    <row r="213" spans="1:9" x14ac:dyDescent="0.25">
      <c r="A213" t="s">
        <v>1963</v>
      </c>
      <c r="B213" t="s">
        <v>91</v>
      </c>
      <c r="C213" t="s">
        <v>448</v>
      </c>
      <c r="D213" t="s">
        <v>449</v>
      </c>
      <c r="E213" t="s">
        <v>816</v>
      </c>
      <c r="F213" t="s">
        <v>1964</v>
      </c>
      <c r="G213" t="s">
        <v>1965</v>
      </c>
      <c r="H213" t="s">
        <v>1966</v>
      </c>
      <c r="I213" t="s">
        <v>1967</v>
      </c>
    </row>
    <row r="214" spans="1:9" x14ac:dyDescent="0.25">
      <c r="A214" t="s">
        <v>1968</v>
      </c>
      <c r="B214" t="s">
        <v>91</v>
      </c>
      <c r="C214" t="s">
        <v>92</v>
      </c>
      <c r="D214" t="s">
        <v>93</v>
      </c>
      <c r="E214" t="s">
        <v>654</v>
      </c>
      <c r="F214" t="s">
        <v>1565</v>
      </c>
      <c r="G214" t="s">
        <v>1566</v>
      </c>
      <c r="H214" t="s">
        <v>1969</v>
      </c>
      <c r="I214" t="s">
        <v>1970</v>
      </c>
    </row>
    <row r="215" spans="1:9" x14ac:dyDescent="0.25">
      <c r="A215" t="s">
        <v>1971</v>
      </c>
      <c r="B215" t="s">
        <v>91</v>
      </c>
      <c r="C215" t="s">
        <v>292</v>
      </c>
      <c r="D215" t="s">
        <v>294</v>
      </c>
      <c r="E215" t="s">
        <v>691</v>
      </c>
      <c r="F215" t="s">
        <v>1822</v>
      </c>
      <c r="G215" t="s">
        <v>1823</v>
      </c>
      <c r="H215" t="s">
        <v>1824</v>
      </c>
      <c r="I215" t="s">
        <v>1825</v>
      </c>
    </row>
    <row r="216" spans="1:9" x14ac:dyDescent="0.25">
      <c r="A216" t="s">
        <v>1972</v>
      </c>
      <c r="B216" t="s">
        <v>91</v>
      </c>
      <c r="C216" t="s">
        <v>920</v>
      </c>
      <c r="D216" t="s">
        <v>1973</v>
      </c>
      <c r="E216" t="s">
        <v>919</v>
      </c>
      <c r="F216" t="s">
        <v>1425</v>
      </c>
      <c r="G216" t="s">
        <v>1426</v>
      </c>
      <c r="H216" t="s">
        <v>1427</v>
      </c>
      <c r="I216" t="s">
        <v>1428</v>
      </c>
    </row>
    <row r="217" spans="1:9" x14ac:dyDescent="0.25">
      <c r="A217" t="s">
        <v>1974</v>
      </c>
      <c r="B217" t="s">
        <v>91</v>
      </c>
      <c r="C217" t="s">
        <v>1171</v>
      </c>
      <c r="D217" t="s">
        <v>1172</v>
      </c>
      <c r="E217" t="s">
        <v>1170</v>
      </c>
      <c r="F217" t="s">
        <v>1975</v>
      </c>
      <c r="G217" t="s">
        <v>1976</v>
      </c>
      <c r="H217" t="s">
        <v>1977</v>
      </c>
      <c r="I217" t="s">
        <v>1978</v>
      </c>
    </row>
    <row r="218" spans="1:9" x14ac:dyDescent="0.25">
      <c r="A218" t="s">
        <v>1979</v>
      </c>
      <c r="B218" t="s">
        <v>91</v>
      </c>
      <c r="C218" t="s">
        <v>410</v>
      </c>
      <c r="D218" t="s">
        <v>411</v>
      </c>
      <c r="E218" t="s">
        <v>1016</v>
      </c>
      <c r="F218" t="s">
        <v>1570</v>
      </c>
      <c r="G218" t="s">
        <v>1571</v>
      </c>
      <c r="H218" t="s">
        <v>1572</v>
      </c>
      <c r="I218" t="s">
        <v>1573</v>
      </c>
    </row>
    <row r="219" spans="1:9" x14ac:dyDescent="0.25">
      <c r="A219" t="s">
        <v>1980</v>
      </c>
      <c r="B219" t="s">
        <v>91</v>
      </c>
      <c r="C219" t="s">
        <v>910</v>
      </c>
      <c r="D219" t="s">
        <v>1981</v>
      </c>
      <c r="E219" t="s">
        <v>909</v>
      </c>
      <c r="F219" t="s">
        <v>1506</v>
      </c>
      <c r="G219" t="s">
        <v>1507</v>
      </c>
      <c r="H219" t="s">
        <v>1712</v>
      </c>
      <c r="I219" t="s">
        <v>1713</v>
      </c>
    </row>
    <row r="220" spans="1:9" x14ac:dyDescent="0.25">
      <c r="A220" t="s">
        <v>1982</v>
      </c>
      <c r="B220" t="s">
        <v>91</v>
      </c>
      <c r="C220" t="s">
        <v>490</v>
      </c>
      <c r="D220" t="s">
        <v>616</v>
      </c>
      <c r="E220" t="s">
        <v>615</v>
      </c>
      <c r="F220" t="s">
        <v>1414</v>
      </c>
      <c r="G220" t="s">
        <v>1415</v>
      </c>
      <c r="H220" t="s">
        <v>1768</v>
      </c>
      <c r="I220" t="s">
        <v>1769</v>
      </c>
    </row>
    <row r="221" spans="1:9" x14ac:dyDescent="0.25">
      <c r="A221" t="s">
        <v>1983</v>
      </c>
      <c r="B221" t="s">
        <v>91</v>
      </c>
      <c r="C221" t="s">
        <v>1253</v>
      </c>
      <c r="D221" t="s">
        <v>1984</v>
      </c>
      <c r="E221" t="s">
        <v>1252</v>
      </c>
      <c r="F221" t="s">
        <v>1731</v>
      </c>
      <c r="G221" t="s">
        <v>1732</v>
      </c>
      <c r="H221" t="s">
        <v>1877</v>
      </c>
      <c r="I221" t="s">
        <v>1878</v>
      </c>
    </row>
    <row r="222" spans="1:9" x14ac:dyDescent="0.25">
      <c r="A222" t="s">
        <v>1985</v>
      </c>
      <c r="B222" t="s">
        <v>91</v>
      </c>
      <c r="C222" t="s">
        <v>318</v>
      </c>
      <c r="D222" t="s">
        <v>465</v>
      </c>
      <c r="E222" t="s">
        <v>849</v>
      </c>
      <c r="F222" t="s">
        <v>1750</v>
      </c>
      <c r="G222" t="s">
        <v>1751</v>
      </c>
      <c r="H222" t="s">
        <v>1752</v>
      </c>
      <c r="I222" t="s">
        <v>1753</v>
      </c>
    </row>
    <row r="223" spans="1:9" x14ac:dyDescent="0.25">
      <c r="A223" t="s">
        <v>1986</v>
      </c>
      <c r="B223" t="s">
        <v>91</v>
      </c>
      <c r="C223" t="s">
        <v>357</v>
      </c>
      <c r="D223" t="s">
        <v>358</v>
      </c>
      <c r="E223" t="s">
        <v>1205</v>
      </c>
      <c r="F223" t="s">
        <v>1987</v>
      </c>
      <c r="G223" t="s">
        <v>1988</v>
      </c>
      <c r="H223" t="s">
        <v>1989</v>
      </c>
      <c r="I223" t="s">
        <v>1990</v>
      </c>
    </row>
    <row r="224" spans="1:9" x14ac:dyDescent="0.25">
      <c r="A224" t="s">
        <v>1991</v>
      </c>
      <c r="B224" t="s">
        <v>91</v>
      </c>
      <c r="C224" t="s">
        <v>238</v>
      </c>
      <c r="D224" t="s">
        <v>239</v>
      </c>
      <c r="E224" t="s">
        <v>964</v>
      </c>
      <c r="F224" t="s">
        <v>1707</v>
      </c>
      <c r="G224" t="s">
        <v>1708</v>
      </c>
      <c r="H224" t="s">
        <v>1709</v>
      </c>
      <c r="I224" t="s">
        <v>1710</v>
      </c>
    </row>
    <row r="225" spans="1:9" x14ac:dyDescent="0.25">
      <c r="A225" t="s">
        <v>1992</v>
      </c>
      <c r="B225" t="s">
        <v>91</v>
      </c>
      <c r="C225" t="s">
        <v>94</v>
      </c>
      <c r="D225" t="s">
        <v>95</v>
      </c>
      <c r="E225" t="s">
        <v>593</v>
      </c>
      <c r="F225" t="s">
        <v>1375</v>
      </c>
      <c r="G225" t="s">
        <v>1376</v>
      </c>
      <c r="H225" t="s">
        <v>1993</v>
      </c>
      <c r="I225" t="s">
        <v>1994</v>
      </c>
    </row>
    <row r="226" spans="1:9" x14ac:dyDescent="0.25">
      <c r="A226" t="s">
        <v>1995</v>
      </c>
      <c r="B226" t="s">
        <v>91</v>
      </c>
      <c r="C226" t="s">
        <v>341</v>
      </c>
      <c r="D226" t="s">
        <v>1996</v>
      </c>
      <c r="E226" t="s">
        <v>600</v>
      </c>
      <c r="F226" t="s">
        <v>1370</v>
      </c>
      <c r="G226" t="s">
        <v>1371</v>
      </c>
      <c r="H226" t="s">
        <v>1372</v>
      </c>
      <c r="I226" t="s">
        <v>1373</v>
      </c>
    </row>
    <row r="227" spans="1:9" x14ac:dyDescent="0.25">
      <c r="A227" t="s">
        <v>1997</v>
      </c>
      <c r="B227" t="s">
        <v>91</v>
      </c>
      <c r="C227" t="s">
        <v>99</v>
      </c>
      <c r="D227" t="s">
        <v>1998</v>
      </c>
      <c r="E227" t="s">
        <v>733</v>
      </c>
      <c r="F227" t="s">
        <v>1801</v>
      </c>
      <c r="G227" t="s">
        <v>1802</v>
      </c>
      <c r="H227" t="s">
        <v>1803</v>
      </c>
      <c r="I227" t="s">
        <v>1804</v>
      </c>
    </row>
    <row r="228" spans="1:9" x14ac:dyDescent="0.25">
      <c r="A228" t="s">
        <v>1999</v>
      </c>
      <c r="B228" t="s">
        <v>91</v>
      </c>
      <c r="C228" t="s">
        <v>292</v>
      </c>
      <c r="D228" t="s">
        <v>2000</v>
      </c>
      <c r="E228" t="s">
        <v>691</v>
      </c>
      <c r="F228" t="s">
        <v>1868</v>
      </c>
      <c r="G228" t="s">
        <v>1869</v>
      </c>
      <c r="H228" t="s">
        <v>1870</v>
      </c>
      <c r="I228" t="s">
        <v>1871</v>
      </c>
    </row>
    <row r="229" spans="1:9" x14ac:dyDescent="0.25">
      <c r="A229" t="s">
        <v>2001</v>
      </c>
      <c r="B229" t="s">
        <v>91</v>
      </c>
      <c r="C229" t="s">
        <v>865</v>
      </c>
      <c r="D229" t="s">
        <v>2002</v>
      </c>
      <c r="E229" t="s">
        <v>864</v>
      </c>
      <c r="F229" t="s">
        <v>1391</v>
      </c>
      <c r="G229" t="s">
        <v>1392</v>
      </c>
      <c r="H229" t="s">
        <v>1393</v>
      </c>
      <c r="I229" t="s">
        <v>1394</v>
      </c>
    </row>
    <row r="230" spans="1:9" x14ac:dyDescent="0.25">
      <c r="A230" t="s">
        <v>2003</v>
      </c>
      <c r="B230" t="s">
        <v>91</v>
      </c>
      <c r="C230" t="s">
        <v>126</v>
      </c>
      <c r="D230" t="s">
        <v>127</v>
      </c>
      <c r="E230" t="s">
        <v>590</v>
      </c>
      <c r="F230" t="s">
        <v>1633</v>
      </c>
      <c r="G230" t="s">
        <v>1634</v>
      </c>
      <c r="H230" t="s">
        <v>1635</v>
      </c>
      <c r="I230" t="s">
        <v>1636</v>
      </c>
    </row>
    <row r="231" spans="1:9" x14ac:dyDescent="0.25">
      <c r="A231" t="s">
        <v>2004</v>
      </c>
      <c r="B231" t="s">
        <v>91</v>
      </c>
      <c r="C231" t="s">
        <v>250</v>
      </c>
      <c r="D231" t="s">
        <v>2005</v>
      </c>
      <c r="E231" t="s">
        <v>855</v>
      </c>
      <c r="F231" t="s">
        <v>1576</v>
      </c>
      <c r="G231" t="s">
        <v>1577</v>
      </c>
      <c r="H231" t="s">
        <v>2006</v>
      </c>
      <c r="I231" t="s">
        <v>2007</v>
      </c>
    </row>
    <row r="232" spans="1:9" x14ac:dyDescent="0.25">
      <c r="A232" t="s">
        <v>2008</v>
      </c>
      <c r="B232" t="s">
        <v>91</v>
      </c>
      <c r="C232" t="s">
        <v>482</v>
      </c>
      <c r="D232" t="s">
        <v>483</v>
      </c>
      <c r="E232" t="s">
        <v>626</v>
      </c>
      <c r="F232" t="s">
        <v>1522</v>
      </c>
      <c r="G232" t="s">
        <v>1523</v>
      </c>
      <c r="H232" t="s">
        <v>1704</v>
      </c>
      <c r="I232" t="s">
        <v>1705</v>
      </c>
    </row>
    <row r="233" spans="1:9" x14ac:dyDescent="0.25">
      <c r="A233" t="s">
        <v>2009</v>
      </c>
      <c r="B233" t="s">
        <v>91</v>
      </c>
      <c r="C233" t="s">
        <v>155</v>
      </c>
      <c r="D233" t="s">
        <v>157</v>
      </c>
      <c r="E233" t="s">
        <v>687</v>
      </c>
      <c r="F233" t="s">
        <v>1534</v>
      </c>
      <c r="G233" t="s">
        <v>1535</v>
      </c>
      <c r="H233" t="s">
        <v>1536</v>
      </c>
      <c r="I233" t="s">
        <v>1537</v>
      </c>
    </row>
    <row r="234" spans="1:9" x14ac:dyDescent="0.25">
      <c r="A234" t="s">
        <v>2010</v>
      </c>
      <c r="B234" t="s">
        <v>91</v>
      </c>
      <c r="C234" t="s">
        <v>131</v>
      </c>
      <c r="D234" t="s">
        <v>310</v>
      </c>
      <c r="E234" t="s">
        <v>645</v>
      </c>
      <c r="F234" t="s">
        <v>1606</v>
      </c>
      <c r="G234" t="s">
        <v>1607</v>
      </c>
      <c r="H234" t="s">
        <v>1862</v>
      </c>
      <c r="I234" t="s">
        <v>1863</v>
      </c>
    </row>
    <row r="235" spans="1:9" x14ac:dyDescent="0.25">
      <c r="A235" t="s">
        <v>2011</v>
      </c>
      <c r="B235" t="s">
        <v>91</v>
      </c>
      <c r="C235" t="s">
        <v>942</v>
      </c>
      <c r="D235" t="s">
        <v>943</v>
      </c>
      <c r="E235" t="s">
        <v>941</v>
      </c>
      <c r="F235" t="s">
        <v>1761</v>
      </c>
      <c r="G235" t="s">
        <v>1762</v>
      </c>
      <c r="H235" t="s">
        <v>1763</v>
      </c>
      <c r="I235" t="s">
        <v>1764</v>
      </c>
    </row>
    <row r="236" spans="1:9" x14ac:dyDescent="0.25">
      <c r="A236" t="s">
        <v>2012</v>
      </c>
      <c r="B236" t="s">
        <v>91</v>
      </c>
      <c r="C236" t="s">
        <v>172</v>
      </c>
      <c r="D236" t="s">
        <v>2013</v>
      </c>
      <c r="E236" t="s">
        <v>557</v>
      </c>
      <c r="F236" t="s">
        <v>1461</v>
      </c>
      <c r="G236" t="s">
        <v>1462</v>
      </c>
      <c r="H236" t="s">
        <v>1463</v>
      </c>
      <c r="I236" t="s">
        <v>1464</v>
      </c>
    </row>
    <row r="237" spans="1:9" x14ac:dyDescent="0.25">
      <c r="A237" t="s">
        <v>2014</v>
      </c>
      <c r="B237" t="s">
        <v>91</v>
      </c>
      <c r="C237" t="s">
        <v>362</v>
      </c>
      <c r="D237" t="s">
        <v>364</v>
      </c>
      <c r="E237" t="s">
        <v>819</v>
      </c>
      <c r="F237" t="s">
        <v>1796</v>
      </c>
      <c r="G237" t="s">
        <v>1797</v>
      </c>
      <c r="H237" t="s">
        <v>1798</v>
      </c>
      <c r="I237" t="s">
        <v>1799</v>
      </c>
    </row>
    <row r="238" spans="1:9" x14ac:dyDescent="0.25">
      <c r="A238" t="s">
        <v>2015</v>
      </c>
      <c r="B238" t="s">
        <v>91</v>
      </c>
      <c r="C238" t="s">
        <v>1051</v>
      </c>
      <c r="D238" t="s">
        <v>1052</v>
      </c>
      <c r="E238" t="s">
        <v>1050</v>
      </c>
      <c r="F238" t="s">
        <v>1689</v>
      </c>
      <c r="G238" t="s">
        <v>1690</v>
      </c>
      <c r="H238" t="s">
        <v>2016</v>
      </c>
      <c r="I238" t="s">
        <v>1518</v>
      </c>
    </row>
    <row r="239" spans="1:9" x14ac:dyDescent="0.25">
      <c r="A239" t="s">
        <v>2017</v>
      </c>
      <c r="B239" t="s">
        <v>91</v>
      </c>
      <c r="C239" t="s">
        <v>376</v>
      </c>
      <c r="D239" t="s">
        <v>377</v>
      </c>
      <c r="E239" t="s">
        <v>586</v>
      </c>
      <c r="F239" t="s">
        <v>1725</v>
      </c>
      <c r="G239" t="s">
        <v>1726</v>
      </c>
      <c r="H239" t="s">
        <v>1727</v>
      </c>
      <c r="I239" t="s">
        <v>1728</v>
      </c>
    </row>
    <row r="240" spans="1:9" x14ac:dyDescent="0.25">
      <c r="A240" t="s">
        <v>2018</v>
      </c>
      <c r="B240" t="s">
        <v>91</v>
      </c>
      <c r="C240" t="s">
        <v>1328</v>
      </c>
      <c r="D240" t="s">
        <v>2019</v>
      </c>
      <c r="E240" t="s">
        <v>1327</v>
      </c>
      <c r="F240" t="s">
        <v>2020</v>
      </c>
      <c r="G240" t="s">
        <v>2021</v>
      </c>
      <c r="H240" t="s">
        <v>2022</v>
      </c>
      <c r="I240" t="s">
        <v>2023</v>
      </c>
    </row>
    <row r="241" spans="1:9" x14ac:dyDescent="0.25">
      <c r="A241" t="s">
        <v>2024</v>
      </c>
      <c r="B241" t="s">
        <v>91</v>
      </c>
      <c r="C241" t="s">
        <v>338</v>
      </c>
      <c r="D241" t="s">
        <v>339</v>
      </c>
      <c r="E241" t="s">
        <v>763</v>
      </c>
      <c r="F241" t="s">
        <v>1440</v>
      </c>
      <c r="G241" t="s">
        <v>1441</v>
      </c>
      <c r="H241" t="s">
        <v>1442</v>
      </c>
      <c r="I241" t="s">
        <v>1443</v>
      </c>
    </row>
    <row r="242" spans="1:9" x14ac:dyDescent="0.25">
      <c r="A242" t="s">
        <v>2025</v>
      </c>
      <c r="B242" t="s">
        <v>91</v>
      </c>
      <c r="C242" t="s">
        <v>979</v>
      </c>
      <c r="D242" t="s">
        <v>2026</v>
      </c>
      <c r="E242" t="s">
        <v>978</v>
      </c>
      <c r="F242" t="s">
        <v>1425</v>
      </c>
      <c r="G242" t="s">
        <v>1426</v>
      </c>
      <c r="H242" t="s">
        <v>1431</v>
      </c>
      <c r="I242" t="s">
        <v>1432</v>
      </c>
    </row>
    <row r="243" spans="1:9" x14ac:dyDescent="0.25">
      <c r="A243" t="s">
        <v>2027</v>
      </c>
      <c r="B243" t="s">
        <v>91</v>
      </c>
      <c r="C243" t="s">
        <v>195</v>
      </c>
      <c r="D243" t="s">
        <v>2028</v>
      </c>
      <c r="E243" t="s">
        <v>961</v>
      </c>
      <c r="F243" t="s">
        <v>1868</v>
      </c>
      <c r="G243" t="s">
        <v>1869</v>
      </c>
      <c r="H243" t="s">
        <v>2029</v>
      </c>
      <c r="I243" t="s">
        <v>2030</v>
      </c>
    </row>
    <row r="244" spans="1:9" x14ac:dyDescent="0.25">
      <c r="A244" t="s">
        <v>2031</v>
      </c>
      <c r="B244" t="s">
        <v>91</v>
      </c>
      <c r="C244" t="s">
        <v>513</v>
      </c>
      <c r="D244" t="s">
        <v>2032</v>
      </c>
      <c r="E244" t="s">
        <v>747</v>
      </c>
      <c r="F244" t="s">
        <v>1517</v>
      </c>
      <c r="G244" t="s">
        <v>1518</v>
      </c>
      <c r="H244" t="s">
        <v>1519</v>
      </c>
      <c r="I244" t="s">
        <v>1520</v>
      </c>
    </row>
    <row r="245" spans="1:9" x14ac:dyDescent="0.25">
      <c r="A245" t="s">
        <v>2033</v>
      </c>
      <c r="B245" t="s">
        <v>91</v>
      </c>
      <c r="C245" t="s">
        <v>920</v>
      </c>
      <c r="D245" t="s">
        <v>2034</v>
      </c>
      <c r="E245" t="s">
        <v>919</v>
      </c>
      <c r="F245" t="s">
        <v>1425</v>
      </c>
      <c r="G245" t="s">
        <v>1426</v>
      </c>
      <c r="H245" t="s">
        <v>1427</v>
      </c>
      <c r="I245" t="s">
        <v>1428</v>
      </c>
    </row>
    <row r="246" spans="1:9" x14ac:dyDescent="0.25">
      <c r="A246" t="s">
        <v>2035</v>
      </c>
      <c r="B246" t="s">
        <v>91</v>
      </c>
      <c r="C246" t="s">
        <v>296</v>
      </c>
      <c r="D246" t="s">
        <v>298</v>
      </c>
      <c r="E246" t="s">
        <v>606</v>
      </c>
      <c r="F246" t="s">
        <v>1400</v>
      </c>
      <c r="G246" t="s">
        <v>1401</v>
      </c>
      <c r="H246" t="s">
        <v>2036</v>
      </c>
      <c r="I246" t="s">
        <v>2037</v>
      </c>
    </row>
    <row r="247" spans="1:9" x14ac:dyDescent="0.25">
      <c r="A247" t="s">
        <v>2038</v>
      </c>
      <c r="B247" t="s">
        <v>91</v>
      </c>
      <c r="C247" t="s">
        <v>412</v>
      </c>
      <c r="D247" t="s">
        <v>413</v>
      </c>
      <c r="E247" t="s">
        <v>660</v>
      </c>
      <c r="F247" t="s">
        <v>2039</v>
      </c>
      <c r="G247" t="s">
        <v>2040</v>
      </c>
      <c r="H247" t="s">
        <v>2041</v>
      </c>
      <c r="I247" t="s">
        <v>1518</v>
      </c>
    </row>
    <row r="248" spans="1:9" x14ac:dyDescent="0.25">
      <c r="A248" t="s">
        <v>2042</v>
      </c>
      <c r="B248" t="s">
        <v>91</v>
      </c>
      <c r="C248" t="s">
        <v>131</v>
      </c>
      <c r="D248" t="s">
        <v>2043</v>
      </c>
      <c r="E248" t="s">
        <v>645</v>
      </c>
      <c r="F248" t="s">
        <v>1606</v>
      </c>
      <c r="G248" t="s">
        <v>1607</v>
      </c>
      <c r="H248" t="s">
        <v>1862</v>
      </c>
      <c r="I248" t="s">
        <v>1863</v>
      </c>
    </row>
    <row r="249" spans="1:9" x14ac:dyDescent="0.25">
      <c r="A249" t="s">
        <v>2044</v>
      </c>
      <c r="B249" t="s">
        <v>91</v>
      </c>
      <c r="C249" t="s">
        <v>223</v>
      </c>
      <c r="D249" t="s">
        <v>225</v>
      </c>
      <c r="E249" t="s">
        <v>630</v>
      </c>
      <c r="F249" t="s">
        <v>1725</v>
      </c>
      <c r="G249" t="s">
        <v>1726</v>
      </c>
      <c r="H249" t="s">
        <v>2045</v>
      </c>
      <c r="I249" t="s">
        <v>2046</v>
      </c>
    </row>
    <row r="250" spans="1:9" x14ac:dyDescent="0.25">
      <c r="A250" t="s">
        <v>2047</v>
      </c>
      <c r="B250" t="s">
        <v>91</v>
      </c>
      <c r="C250" t="s">
        <v>210</v>
      </c>
      <c r="D250" t="s">
        <v>2048</v>
      </c>
      <c r="E250" t="s">
        <v>577</v>
      </c>
      <c r="F250" t="s">
        <v>2049</v>
      </c>
      <c r="G250" t="s">
        <v>2050</v>
      </c>
      <c r="H250" t="s">
        <v>2051</v>
      </c>
      <c r="I250" t="s">
        <v>1535</v>
      </c>
    </row>
    <row r="251" spans="1:9" x14ac:dyDescent="0.25">
      <c r="A251" t="s">
        <v>2052</v>
      </c>
      <c r="B251" t="s">
        <v>91</v>
      </c>
      <c r="C251" t="s">
        <v>180</v>
      </c>
      <c r="D251" t="s">
        <v>1141</v>
      </c>
      <c r="E251" t="s">
        <v>1140</v>
      </c>
      <c r="F251" t="s">
        <v>2020</v>
      </c>
      <c r="G251" t="s">
        <v>2021</v>
      </c>
      <c r="H251" t="s">
        <v>2053</v>
      </c>
      <c r="I251" t="s">
        <v>2054</v>
      </c>
    </row>
    <row r="252" spans="1:9" x14ac:dyDescent="0.25">
      <c r="A252" t="s">
        <v>2055</v>
      </c>
      <c r="B252" t="s">
        <v>91</v>
      </c>
      <c r="C252" t="s">
        <v>367</v>
      </c>
      <c r="D252" t="s">
        <v>498</v>
      </c>
      <c r="E252" t="s">
        <v>553</v>
      </c>
      <c r="F252" t="s">
        <v>1445</v>
      </c>
      <c r="G252" t="s">
        <v>1446</v>
      </c>
      <c r="H252" t="s">
        <v>1447</v>
      </c>
      <c r="I252" t="s">
        <v>1448</v>
      </c>
    </row>
    <row r="253" spans="1:9" x14ac:dyDescent="0.25">
      <c r="A253" t="s">
        <v>2056</v>
      </c>
      <c r="B253" t="s">
        <v>91</v>
      </c>
      <c r="C253" t="s">
        <v>974</v>
      </c>
      <c r="D253" t="s">
        <v>2057</v>
      </c>
      <c r="E253" t="s">
        <v>973</v>
      </c>
      <c r="F253" t="s">
        <v>1594</v>
      </c>
      <c r="G253" t="s">
        <v>1595</v>
      </c>
      <c r="H253" t="s">
        <v>1596</v>
      </c>
      <c r="I253" t="s">
        <v>1597</v>
      </c>
    </row>
    <row r="254" spans="1:9" x14ac:dyDescent="0.25">
      <c r="A254" t="s">
        <v>2058</v>
      </c>
      <c r="B254" t="s">
        <v>91</v>
      </c>
      <c r="C254" t="s">
        <v>379</v>
      </c>
      <c r="D254" t="s">
        <v>2059</v>
      </c>
      <c r="E254" t="s">
        <v>773</v>
      </c>
      <c r="F254" t="s">
        <v>1385</v>
      </c>
      <c r="G254" t="s">
        <v>1386</v>
      </c>
      <c r="H254" t="s">
        <v>1387</v>
      </c>
      <c r="I254" t="s">
        <v>1388</v>
      </c>
    </row>
    <row r="255" spans="1:9" x14ac:dyDescent="0.25">
      <c r="A255" t="s">
        <v>2060</v>
      </c>
      <c r="B255" t="s">
        <v>91</v>
      </c>
      <c r="C255" t="s">
        <v>341</v>
      </c>
      <c r="D255" t="s">
        <v>474</v>
      </c>
      <c r="E255" t="s">
        <v>600</v>
      </c>
      <c r="F255" t="s">
        <v>1370</v>
      </c>
      <c r="G255" t="s">
        <v>1371</v>
      </c>
      <c r="H255" t="s">
        <v>1372</v>
      </c>
      <c r="I255" t="s">
        <v>1373</v>
      </c>
    </row>
    <row r="256" spans="1:9" x14ac:dyDescent="0.25">
      <c r="A256" t="s">
        <v>2061</v>
      </c>
      <c r="B256" t="s">
        <v>91</v>
      </c>
      <c r="C256" t="s">
        <v>808</v>
      </c>
      <c r="D256" t="s">
        <v>809</v>
      </c>
      <c r="E256" t="s">
        <v>807</v>
      </c>
      <c r="F256" t="s">
        <v>1353</v>
      </c>
      <c r="G256" t="s">
        <v>1354</v>
      </c>
      <c r="H256" t="s">
        <v>1513</v>
      </c>
      <c r="I256" t="s">
        <v>1514</v>
      </c>
    </row>
    <row r="257" spans="1:9" x14ac:dyDescent="0.25">
      <c r="A257" t="s">
        <v>2062</v>
      </c>
      <c r="B257" t="s">
        <v>91</v>
      </c>
      <c r="C257" t="s">
        <v>989</v>
      </c>
      <c r="D257" t="s">
        <v>990</v>
      </c>
      <c r="E257" t="s">
        <v>988</v>
      </c>
      <c r="F257" t="s">
        <v>1483</v>
      </c>
      <c r="G257" t="s">
        <v>1484</v>
      </c>
      <c r="H257" t="s">
        <v>2063</v>
      </c>
      <c r="I257" t="s">
        <v>2064</v>
      </c>
    </row>
    <row r="258" spans="1:9" x14ac:dyDescent="0.25">
      <c r="A258" t="s">
        <v>2065</v>
      </c>
      <c r="B258" t="s">
        <v>91</v>
      </c>
      <c r="C258" t="s">
        <v>460</v>
      </c>
      <c r="D258" t="s">
        <v>461</v>
      </c>
      <c r="E258" t="s">
        <v>875</v>
      </c>
      <c r="F258" t="s">
        <v>1445</v>
      </c>
      <c r="G258" t="s">
        <v>1446</v>
      </c>
      <c r="H258" t="s">
        <v>1949</v>
      </c>
      <c r="I258" t="s">
        <v>1950</v>
      </c>
    </row>
    <row r="259" spans="1:9" x14ac:dyDescent="0.25">
      <c r="A259" t="s">
        <v>2066</v>
      </c>
      <c r="B259" t="s">
        <v>91</v>
      </c>
      <c r="C259" t="s">
        <v>99</v>
      </c>
      <c r="D259" t="s">
        <v>2067</v>
      </c>
      <c r="E259" t="s">
        <v>733</v>
      </c>
      <c r="F259" t="s">
        <v>1801</v>
      </c>
      <c r="G259" t="s">
        <v>1802</v>
      </c>
      <c r="H259" t="s">
        <v>1803</v>
      </c>
      <c r="I259" t="s">
        <v>1804</v>
      </c>
    </row>
    <row r="260" spans="1:9" x14ac:dyDescent="0.25">
      <c r="A260" t="s">
        <v>2068</v>
      </c>
      <c r="B260" t="s">
        <v>91</v>
      </c>
      <c r="C260" t="s">
        <v>200</v>
      </c>
      <c r="D260" t="s">
        <v>2069</v>
      </c>
      <c r="E260" t="s">
        <v>757</v>
      </c>
      <c r="F260" t="s">
        <v>1406</v>
      </c>
      <c r="G260" t="s">
        <v>1407</v>
      </c>
      <c r="H260" t="s">
        <v>1644</v>
      </c>
      <c r="I260" t="s">
        <v>1645</v>
      </c>
    </row>
    <row r="261" spans="1:9" x14ac:dyDescent="0.25">
      <c r="A261" t="s">
        <v>2070</v>
      </c>
      <c r="B261" t="s">
        <v>91</v>
      </c>
      <c r="C261" t="s">
        <v>516</v>
      </c>
      <c r="D261" t="s">
        <v>1276</v>
      </c>
      <c r="E261" t="s">
        <v>1275</v>
      </c>
      <c r="F261" t="s">
        <v>2071</v>
      </c>
      <c r="G261" t="s">
        <v>2072</v>
      </c>
      <c r="H261" t="s">
        <v>2073</v>
      </c>
      <c r="I261" t="s">
        <v>2074</v>
      </c>
    </row>
    <row r="262" spans="1:9" x14ac:dyDescent="0.25">
      <c r="A262" t="s">
        <v>2075</v>
      </c>
      <c r="B262" t="s">
        <v>91</v>
      </c>
      <c r="C262" t="s">
        <v>131</v>
      </c>
      <c r="D262" t="s">
        <v>2076</v>
      </c>
      <c r="E262" t="s">
        <v>645</v>
      </c>
      <c r="F262" t="s">
        <v>1606</v>
      </c>
      <c r="G262" t="s">
        <v>1607</v>
      </c>
      <c r="H262" t="s">
        <v>1608</v>
      </c>
      <c r="I262" t="s">
        <v>1609</v>
      </c>
    </row>
    <row r="263" spans="1:9" x14ac:dyDescent="0.25">
      <c r="A263" t="s">
        <v>2077</v>
      </c>
      <c r="B263" t="s">
        <v>91</v>
      </c>
      <c r="C263" t="s">
        <v>367</v>
      </c>
      <c r="D263" t="s">
        <v>2078</v>
      </c>
      <c r="E263" t="s">
        <v>553</v>
      </c>
      <c r="F263" t="s">
        <v>1445</v>
      </c>
      <c r="G263" t="s">
        <v>1446</v>
      </c>
      <c r="H263" t="s">
        <v>2079</v>
      </c>
      <c r="I263" t="s">
        <v>2080</v>
      </c>
    </row>
    <row r="264" spans="1:9" x14ac:dyDescent="0.25">
      <c r="A264" t="s">
        <v>2081</v>
      </c>
      <c r="B264" t="s">
        <v>91</v>
      </c>
      <c r="C264" t="s">
        <v>292</v>
      </c>
      <c r="D264" t="s">
        <v>438</v>
      </c>
      <c r="E264" t="s">
        <v>691</v>
      </c>
      <c r="F264" t="s">
        <v>1822</v>
      </c>
      <c r="G264" t="s">
        <v>1823</v>
      </c>
      <c r="H264" t="s">
        <v>2082</v>
      </c>
      <c r="I264" t="s">
        <v>2083</v>
      </c>
    </row>
    <row r="265" spans="1:9" x14ac:dyDescent="0.25">
      <c r="A265" t="s">
        <v>2084</v>
      </c>
      <c r="B265" t="s">
        <v>91</v>
      </c>
      <c r="C265" t="s">
        <v>937</v>
      </c>
      <c r="D265" t="s">
        <v>2085</v>
      </c>
      <c r="E265" t="s">
        <v>936</v>
      </c>
      <c r="F265" t="s">
        <v>1434</v>
      </c>
      <c r="G265" t="s">
        <v>1435</v>
      </c>
      <c r="H265" t="s">
        <v>1590</v>
      </c>
      <c r="I265" t="s">
        <v>1591</v>
      </c>
    </row>
    <row r="266" spans="1:9" x14ac:dyDescent="0.25">
      <c r="A266" t="s">
        <v>2086</v>
      </c>
      <c r="B266" t="s">
        <v>91</v>
      </c>
      <c r="C266" t="s">
        <v>268</v>
      </c>
      <c r="D266" t="s">
        <v>270</v>
      </c>
      <c r="E266" t="s">
        <v>547</v>
      </c>
      <c r="F266" t="s">
        <v>1461</v>
      </c>
      <c r="G266" t="s">
        <v>1462</v>
      </c>
      <c r="H266" t="s">
        <v>1554</v>
      </c>
      <c r="I266" t="s">
        <v>1555</v>
      </c>
    </row>
    <row r="267" spans="1:9" x14ac:dyDescent="0.25">
      <c r="A267" t="s">
        <v>2087</v>
      </c>
      <c r="B267" t="s">
        <v>91</v>
      </c>
      <c r="C267" t="s">
        <v>1046</v>
      </c>
      <c r="D267" t="s">
        <v>2088</v>
      </c>
      <c r="E267" t="s">
        <v>1045</v>
      </c>
      <c r="F267" t="s">
        <v>1599</v>
      </c>
      <c r="G267" t="s">
        <v>1600</v>
      </c>
      <c r="H267" t="s">
        <v>1601</v>
      </c>
      <c r="I267" t="s">
        <v>1602</v>
      </c>
    </row>
    <row r="268" spans="1:9" x14ac:dyDescent="0.25">
      <c r="A268" t="s">
        <v>2089</v>
      </c>
      <c r="B268" t="s">
        <v>91</v>
      </c>
      <c r="C268" t="s">
        <v>210</v>
      </c>
      <c r="D268" t="s">
        <v>211</v>
      </c>
      <c r="E268" t="s">
        <v>577</v>
      </c>
      <c r="F268" t="s">
        <v>2049</v>
      </c>
      <c r="G268" t="s">
        <v>2050</v>
      </c>
      <c r="H268" t="s">
        <v>2051</v>
      </c>
      <c r="I268" t="s">
        <v>1535</v>
      </c>
    </row>
    <row r="269" spans="1:9" x14ac:dyDescent="0.25">
      <c r="A269" t="s">
        <v>2090</v>
      </c>
      <c r="B269" t="s">
        <v>91</v>
      </c>
      <c r="C269" t="s">
        <v>158</v>
      </c>
      <c r="D269" t="s">
        <v>160</v>
      </c>
      <c r="E269" t="s">
        <v>800</v>
      </c>
      <c r="F269" t="s">
        <v>1650</v>
      </c>
      <c r="G269" t="s">
        <v>1651</v>
      </c>
      <c r="H269" t="s">
        <v>2091</v>
      </c>
      <c r="I269" t="s">
        <v>2092</v>
      </c>
    </row>
    <row r="270" spans="1:9" x14ac:dyDescent="0.25">
      <c r="A270" t="s">
        <v>2093</v>
      </c>
      <c r="B270" t="s">
        <v>91</v>
      </c>
      <c r="C270" t="s">
        <v>200</v>
      </c>
      <c r="D270" t="s">
        <v>201</v>
      </c>
      <c r="E270" t="s">
        <v>757</v>
      </c>
      <c r="F270" t="s">
        <v>1406</v>
      </c>
      <c r="G270" t="s">
        <v>1407</v>
      </c>
      <c r="H270" t="s">
        <v>1638</v>
      </c>
      <c r="I270" t="s">
        <v>1639</v>
      </c>
    </row>
    <row r="271" spans="1:9" x14ac:dyDescent="0.25">
      <c r="A271" t="s">
        <v>2094</v>
      </c>
      <c r="B271" t="s">
        <v>91</v>
      </c>
      <c r="C271" t="s">
        <v>345</v>
      </c>
      <c r="D271" t="s">
        <v>1080</v>
      </c>
      <c r="E271" t="s">
        <v>1079</v>
      </c>
      <c r="F271" t="s">
        <v>1506</v>
      </c>
      <c r="G271" t="s">
        <v>1507</v>
      </c>
      <c r="H271" t="s">
        <v>1508</v>
      </c>
      <c r="I271" t="s">
        <v>1509</v>
      </c>
    </row>
    <row r="272" spans="1:9" x14ac:dyDescent="0.25">
      <c r="A272" t="s">
        <v>2095</v>
      </c>
      <c r="B272" t="s">
        <v>91</v>
      </c>
      <c r="C272" t="s">
        <v>1209</v>
      </c>
      <c r="D272" t="s">
        <v>1210</v>
      </c>
      <c r="E272" t="s">
        <v>1208</v>
      </c>
      <c r="F272" t="s">
        <v>2096</v>
      </c>
      <c r="G272" t="s">
        <v>2097</v>
      </c>
      <c r="H272" t="s">
        <v>2098</v>
      </c>
      <c r="I272" t="s">
        <v>2099</v>
      </c>
    </row>
    <row r="273" spans="1:9" x14ac:dyDescent="0.25">
      <c r="A273" t="s">
        <v>2100</v>
      </c>
      <c r="B273" t="s">
        <v>91</v>
      </c>
      <c r="C273" t="s">
        <v>106</v>
      </c>
      <c r="D273" t="s">
        <v>217</v>
      </c>
      <c r="E273" t="s">
        <v>566</v>
      </c>
      <c r="F273" t="s">
        <v>1506</v>
      </c>
      <c r="G273" t="s">
        <v>1507</v>
      </c>
      <c r="H273" t="s">
        <v>1508</v>
      </c>
      <c r="I273" t="s">
        <v>1509</v>
      </c>
    </row>
    <row r="274" spans="1:9" x14ac:dyDescent="0.25">
      <c r="A274" t="s">
        <v>2101</v>
      </c>
      <c r="B274" t="s">
        <v>91</v>
      </c>
      <c r="C274" t="s">
        <v>341</v>
      </c>
      <c r="D274" t="s">
        <v>2102</v>
      </c>
      <c r="E274" t="s">
        <v>600</v>
      </c>
      <c r="F274" t="s">
        <v>1370</v>
      </c>
      <c r="G274" t="s">
        <v>1371</v>
      </c>
      <c r="H274" t="s">
        <v>2103</v>
      </c>
      <c r="I274" t="s">
        <v>2104</v>
      </c>
    </row>
    <row r="275" spans="1:9" x14ac:dyDescent="0.25">
      <c r="A275" t="s">
        <v>2105</v>
      </c>
      <c r="B275" t="s">
        <v>91</v>
      </c>
      <c r="C275" t="s">
        <v>1061</v>
      </c>
      <c r="D275" t="s">
        <v>2106</v>
      </c>
      <c r="E275" t="s">
        <v>1060</v>
      </c>
      <c r="F275" t="s">
        <v>1414</v>
      </c>
      <c r="G275" t="s">
        <v>1415</v>
      </c>
      <c r="H275" t="s">
        <v>1768</v>
      </c>
      <c r="I275" t="s">
        <v>1769</v>
      </c>
    </row>
    <row r="276" spans="1:9" x14ac:dyDescent="0.25">
      <c r="A276" t="s">
        <v>2107</v>
      </c>
      <c r="B276" t="s">
        <v>91</v>
      </c>
      <c r="C276" t="s">
        <v>292</v>
      </c>
      <c r="D276" t="s">
        <v>692</v>
      </c>
      <c r="E276" t="s">
        <v>691</v>
      </c>
      <c r="F276" t="s">
        <v>1868</v>
      </c>
      <c r="G276" t="s">
        <v>1869</v>
      </c>
      <c r="H276" t="s">
        <v>1870</v>
      </c>
      <c r="I276" t="s">
        <v>1871</v>
      </c>
    </row>
    <row r="277" spans="1:9" x14ac:dyDescent="0.25">
      <c r="A277" t="s">
        <v>2108</v>
      </c>
      <c r="B277" t="s">
        <v>91</v>
      </c>
      <c r="C277" t="s">
        <v>1004</v>
      </c>
      <c r="D277" t="s">
        <v>1005</v>
      </c>
      <c r="E277" t="s">
        <v>1003</v>
      </c>
      <c r="F277" t="s">
        <v>1506</v>
      </c>
      <c r="G277" t="s">
        <v>1507</v>
      </c>
      <c r="H277" t="s">
        <v>1508</v>
      </c>
      <c r="I277" t="s">
        <v>1509</v>
      </c>
    </row>
    <row r="278" spans="1:9" x14ac:dyDescent="0.25">
      <c r="A278" t="s">
        <v>2109</v>
      </c>
      <c r="B278" t="s">
        <v>91</v>
      </c>
      <c r="C278" t="s">
        <v>974</v>
      </c>
      <c r="D278" t="s">
        <v>2110</v>
      </c>
      <c r="E278" t="s">
        <v>973</v>
      </c>
      <c r="F278" t="s">
        <v>1594</v>
      </c>
      <c r="G278" t="s">
        <v>1595</v>
      </c>
      <c r="H278" t="s">
        <v>1596</v>
      </c>
      <c r="I278" t="s">
        <v>1597</v>
      </c>
    </row>
    <row r="279" spans="1:9" x14ac:dyDescent="0.25">
      <c r="A279" t="s">
        <v>2111</v>
      </c>
      <c r="B279" t="s">
        <v>91</v>
      </c>
      <c r="C279" t="s">
        <v>999</v>
      </c>
      <c r="D279" t="s">
        <v>1000</v>
      </c>
      <c r="E279" t="s">
        <v>998</v>
      </c>
      <c r="F279" t="s">
        <v>1517</v>
      </c>
      <c r="G279" t="s">
        <v>1518</v>
      </c>
      <c r="H279" t="s">
        <v>1519</v>
      </c>
      <c r="I279" t="s">
        <v>1520</v>
      </c>
    </row>
    <row r="280" spans="1:9" x14ac:dyDescent="0.25">
      <c r="A280" t="s">
        <v>2112</v>
      </c>
      <c r="B280" t="s">
        <v>91</v>
      </c>
      <c r="C280" t="s">
        <v>163</v>
      </c>
      <c r="D280" t="s">
        <v>2113</v>
      </c>
      <c r="E280" t="s">
        <v>560</v>
      </c>
      <c r="F280" t="s">
        <v>1353</v>
      </c>
      <c r="G280" t="s">
        <v>1354</v>
      </c>
      <c r="H280" t="s">
        <v>1558</v>
      </c>
      <c r="I280" t="s">
        <v>1559</v>
      </c>
    </row>
    <row r="281" spans="1:9" x14ac:dyDescent="0.25">
      <c r="A281" t="s">
        <v>2114</v>
      </c>
      <c r="B281" t="s">
        <v>91</v>
      </c>
      <c r="C281" t="s">
        <v>192</v>
      </c>
      <c r="D281" t="s">
        <v>193</v>
      </c>
      <c r="E281" t="s">
        <v>583</v>
      </c>
      <c r="F281" t="s">
        <v>1450</v>
      </c>
      <c r="G281" t="s">
        <v>1451</v>
      </c>
      <c r="H281" t="s">
        <v>1683</v>
      </c>
      <c r="I281" t="s">
        <v>1684</v>
      </c>
    </row>
    <row r="282" spans="1:9" x14ac:dyDescent="0.25">
      <c r="A282" t="s">
        <v>2115</v>
      </c>
      <c r="B282" t="s">
        <v>91</v>
      </c>
      <c r="C282" t="s">
        <v>367</v>
      </c>
      <c r="D282" t="s">
        <v>2116</v>
      </c>
      <c r="E282" t="s">
        <v>553</v>
      </c>
      <c r="F282" t="s">
        <v>1445</v>
      </c>
      <c r="G282" t="s">
        <v>1446</v>
      </c>
      <c r="H282" t="s">
        <v>2079</v>
      </c>
      <c r="I282" t="s">
        <v>2080</v>
      </c>
    </row>
    <row r="283" spans="1:9" x14ac:dyDescent="0.25">
      <c r="A283" t="s">
        <v>2117</v>
      </c>
      <c r="B283" t="s">
        <v>91</v>
      </c>
      <c r="C283" t="s">
        <v>351</v>
      </c>
      <c r="D283" t="s">
        <v>751</v>
      </c>
      <c r="E283" t="s">
        <v>750</v>
      </c>
      <c r="F283" t="s">
        <v>1547</v>
      </c>
      <c r="G283" t="s">
        <v>1548</v>
      </c>
      <c r="H283" t="s">
        <v>1658</v>
      </c>
      <c r="I283" t="s">
        <v>1659</v>
      </c>
    </row>
    <row r="284" spans="1:9" x14ac:dyDescent="0.25">
      <c r="A284" t="s">
        <v>2118</v>
      </c>
      <c r="B284" t="s">
        <v>91</v>
      </c>
      <c r="C284" t="s">
        <v>106</v>
      </c>
      <c r="D284" t="s">
        <v>107</v>
      </c>
      <c r="E284" t="s">
        <v>566</v>
      </c>
      <c r="F284" t="s">
        <v>1506</v>
      </c>
      <c r="G284" t="s">
        <v>1507</v>
      </c>
      <c r="H284" t="s">
        <v>1958</v>
      </c>
      <c r="I284" t="s">
        <v>1959</v>
      </c>
    </row>
    <row r="285" spans="1:9" x14ac:dyDescent="0.25">
      <c r="A285" t="s">
        <v>2119</v>
      </c>
      <c r="B285" t="s">
        <v>91</v>
      </c>
      <c r="C285" t="s">
        <v>348</v>
      </c>
      <c r="D285" t="s">
        <v>350</v>
      </c>
      <c r="E285" t="s">
        <v>619</v>
      </c>
      <c r="F285" t="s">
        <v>1414</v>
      </c>
      <c r="G285" t="s">
        <v>1415</v>
      </c>
      <c r="H285" t="s">
        <v>1416</v>
      </c>
      <c r="I285" t="s">
        <v>1417</v>
      </c>
    </row>
    <row r="286" spans="1:9" x14ac:dyDescent="0.25">
      <c r="A286" t="s">
        <v>2120</v>
      </c>
      <c r="B286" t="s">
        <v>91</v>
      </c>
      <c r="C286" t="s">
        <v>163</v>
      </c>
      <c r="D286" t="s">
        <v>2121</v>
      </c>
      <c r="E286" t="s">
        <v>560</v>
      </c>
      <c r="F286" t="s">
        <v>1353</v>
      </c>
      <c r="G286" t="s">
        <v>1354</v>
      </c>
      <c r="H286" t="s">
        <v>1355</v>
      </c>
      <c r="I286" t="s">
        <v>1356</v>
      </c>
    </row>
    <row r="287" spans="1:9" x14ac:dyDescent="0.25">
      <c r="A287" t="s">
        <v>2122</v>
      </c>
      <c r="B287" t="s">
        <v>91</v>
      </c>
      <c r="C287" t="s">
        <v>122</v>
      </c>
      <c r="D287" t="s">
        <v>323</v>
      </c>
      <c r="E287" t="s">
        <v>537</v>
      </c>
      <c r="F287" t="s">
        <v>1450</v>
      </c>
      <c r="G287" t="s">
        <v>1451</v>
      </c>
      <c r="H287" t="s">
        <v>1452</v>
      </c>
      <c r="I287" t="s">
        <v>1453</v>
      </c>
    </row>
    <row r="288" spans="1:9" x14ac:dyDescent="0.25">
      <c r="A288" t="s">
        <v>2123</v>
      </c>
      <c r="B288" t="s">
        <v>91</v>
      </c>
      <c r="C288" t="s">
        <v>1243</v>
      </c>
      <c r="D288" t="s">
        <v>1244</v>
      </c>
      <c r="E288" t="s">
        <v>1242</v>
      </c>
      <c r="F288" t="s">
        <v>2124</v>
      </c>
      <c r="G288" t="s">
        <v>2125</v>
      </c>
      <c r="H288" t="s">
        <v>2126</v>
      </c>
      <c r="I288" t="s">
        <v>2125</v>
      </c>
    </row>
    <row r="289" spans="1:9" x14ac:dyDescent="0.25">
      <c r="A289" t="s">
        <v>2127</v>
      </c>
      <c r="B289" t="s">
        <v>91</v>
      </c>
      <c r="C289" t="s">
        <v>210</v>
      </c>
      <c r="D289" t="s">
        <v>430</v>
      </c>
      <c r="E289" t="s">
        <v>577</v>
      </c>
      <c r="F289" t="s">
        <v>2049</v>
      </c>
      <c r="G289" t="s">
        <v>2050</v>
      </c>
      <c r="H289" t="s">
        <v>2051</v>
      </c>
      <c r="I289" t="s">
        <v>1535</v>
      </c>
    </row>
    <row r="290" spans="1:9" x14ac:dyDescent="0.25">
      <c r="A290" t="s">
        <v>2128</v>
      </c>
      <c r="B290" t="s">
        <v>91</v>
      </c>
      <c r="C290" t="s">
        <v>205</v>
      </c>
      <c r="D290" t="s">
        <v>315</v>
      </c>
      <c r="E290" t="s">
        <v>651</v>
      </c>
      <c r="F290" t="s">
        <v>1731</v>
      </c>
      <c r="G290" t="s">
        <v>1732</v>
      </c>
      <c r="H290" t="s">
        <v>1777</v>
      </c>
      <c r="I290" t="s">
        <v>1778</v>
      </c>
    </row>
    <row r="291" spans="1:9" x14ac:dyDescent="0.25">
      <c r="A291" t="s">
        <v>2129</v>
      </c>
      <c r="B291" t="s">
        <v>91</v>
      </c>
      <c r="C291" t="s">
        <v>920</v>
      </c>
      <c r="D291" t="s">
        <v>2130</v>
      </c>
      <c r="E291" t="s">
        <v>919</v>
      </c>
      <c r="F291" t="s">
        <v>1425</v>
      </c>
      <c r="G291" t="s">
        <v>1426</v>
      </c>
      <c r="H291" t="s">
        <v>1427</v>
      </c>
      <c r="I291" t="s">
        <v>1428</v>
      </c>
    </row>
    <row r="292" spans="1:9" x14ac:dyDescent="0.25">
      <c r="A292" t="s">
        <v>2131</v>
      </c>
      <c r="B292" t="s">
        <v>91</v>
      </c>
      <c r="C292" t="s">
        <v>399</v>
      </c>
      <c r="D292" t="s">
        <v>400</v>
      </c>
      <c r="E292" t="s">
        <v>637</v>
      </c>
      <c r="F292" t="s">
        <v>1445</v>
      </c>
      <c r="G292" t="s">
        <v>1446</v>
      </c>
      <c r="H292" t="s">
        <v>1447</v>
      </c>
      <c r="I292" t="s">
        <v>1448</v>
      </c>
    </row>
    <row r="293" spans="1:9" x14ac:dyDescent="0.25">
      <c r="A293" t="s">
        <v>2132</v>
      </c>
      <c r="B293" t="s">
        <v>91</v>
      </c>
      <c r="C293" t="s">
        <v>416</v>
      </c>
      <c r="D293" t="s">
        <v>417</v>
      </c>
      <c r="E293" t="s">
        <v>760</v>
      </c>
      <c r="F293" t="s">
        <v>1494</v>
      </c>
      <c r="G293" t="s">
        <v>1495</v>
      </c>
      <c r="H293" t="s">
        <v>1496</v>
      </c>
      <c r="I293" t="s">
        <v>1497</v>
      </c>
    </row>
    <row r="294" spans="1:9" x14ac:dyDescent="0.25">
      <c r="A294" t="s">
        <v>2133</v>
      </c>
      <c r="B294" t="s">
        <v>91</v>
      </c>
      <c r="C294" t="s">
        <v>300</v>
      </c>
      <c r="D294" t="s">
        <v>301</v>
      </c>
      <c r="E294" t="s">
        <v>1116</v>
      </c>
      <c r="F294" t="s">
        <v>1731</v>
      </c>
      <c r="G294" t="s">
        <v>1732</v>
      </c>
      <c r="H294" t="s">
        <v>2134</v>
      </c>
      <c r="I294" t="s">
        <v>2135</v>
      </c>
    </row>
    <row r="295" spans="1:9" x14ac:dyDescent="0.25">
      <c r="A295" t="s">
        <v>2136</v>
      </c>
      <c r="B295" t="s">
        <v>91</v>
      </c>
      <c r="C295" t="s">
        <v>172</v>
      </c>
      <c r="D295" t="s">
        <v>174</v>
      </c>
      <c r="E295" t="s">
        <v>557</v>
      </c>
      <c r="F295" t="s">
        <v>1461</v>
      </c>
      <c r="G295" t="s">
        <v>1462</v>
      </c>
      <c r="H295" t="s">
        <v>1463</v>
      </c>
      <c r="I295" t="s">
        <v>1464</v>
      </c>
    </row>
    <row r="296" spans="1:9" x14ac:dyDescent="0.25">
      <c r="A296" t="s">
        <v>2137</v>
      </c>
      <c r="B296" t="s">
        <v>91</v>
      </c>
      <c r="C296" t="s">
        <v>1075</v>
      </c>
      <c r="D296" t="s">
        <v>2138</v>
      </c>
      <c r="E296" t="s">
        <v>1074</v>
      </c>
      <c r="F296" t="s">
        <v>1406</v>
      </c>
      <c r="G296" t="s">
        <v>1407</v>
      </c>
      <c r="H296" t="s">
        <v>1408</v>
      </c>
      <c r="I296" t="s">
        <v>1409</v>
      </c>
    </row>
    <row r="297" spans="1:9" x14ac:dyDescent="0.25">
      <c r="A297" t="s">
        <v>2139</v>
      </c>
      <c r="B297" t="s">
        <v>91</v>
      </c>
      <c r="C297" t="s">
        <v>1219</v>
      </c>
      <c r="D297" t="s">
        <v>1220</v>
      </c>
      <c r="E297" t="s">
        <v>1218</v>
      </c>
      <c r="F297" t="s">
        <v>1359</v>
      </c>
      <c r="G297" t="s">
        <v>1360</v>
      </c>
      <c r="H297" t="s">
        <v>2140</v>
      </c>
      <c r="I297" t="s">
        <v>2141</v>
      </c>
    </row>
    <row r="298" spans="1:9" x14ac:dyDescent="0.25">
      <c r="A298" t="s">
        <v>2142</v>
      </c>
      <c r="B298" t="s">
        <v>91</v>
      </c>
      <c r="C298" t="s">
        <v>341</v>
      </c>
      <c r="D298" t="s">
        <v>2143</v>
      </c>
      <c r="E298" t="s">
        <v>600</v>
      </c>
      <c r="F298" t="s">
        <v>1370</v>
      </c>
      <c r="G298" t="s">
        <v>1371</v>
      </c>
      <c r="H298" t="s">
        <v>1372</v>
      </c>
      <c r="I298" t="s">
        <v>1373</v>
      </c>
    </row>
    <row r="299" spans="1:9" x14ac:dyDescent="0.25">
      <c r="A299" t="s">
        <v>2144</v>
      </c>
      <c r="B299" t="s">
        <v>91</v>
      </c>
      <c r="C299" t="s">
        <v>180</v>
      </c>
      <c r="D299" t="s">
        <v>182</v>
      </c>
      <c r="E299" t="s">
        <v>1140</v>
      </c>
      <c r="F299" t="s">
        <v>2020</v>
      </c>
      <c r="G299" t="s">
        <v>2021</v>
      </c>
      <c r="H299" t="s">
        <v>2053</v>
      </c>
      <c r="I299" t="s">
        <v>2054</v>
      </c>
    </row>
    <row r="300" spans="1:9" x14ac:dyDescent="0.25">
      <c r="A300" t="s">
        <v>2145</v>
      </c>
      <c r="B300" t="s">
        <v>91</v>
      </c>
      <c r="C300" t="s">
        <v>920</v>
      </c>
      <c r="D300" t="s">
        <v>2146</v>
      </c>
      <c r="E300" t="s">
        <v>919</v>
      </c>
      <c r="F300" t="s">
        <v>1425</v>
      </c>
      <c r="G300" t="s">
        <v>1426</v>
      </c>
      <c r="H300" t="s">
        <v>1427</v>
      </c>
      <c r="I300" t="s">
        <v>1428</v>
      </c>
    </row>
    <row r="301" spans="1:9" x14ac:dyDescent="0.25">
      <c r="A301" t="s">
        <v>2147</v>
      </c>
      <c r="B301" t="s">
        <v>91</v>
      </c>
      <c r="C301" t="s">
        <v>1271</v>
      </c>
      <c r="D301" t="s">
        <v>1272</v>
      </c>
      <c r="E301" t="s">
        <v>1270</v>
      </c>
      <c r="F301" t="s">
        <v>1731</v>
      </c>
      <c r="G301" t="s">
        <v>1732</v>
      </c>
      <c r="H301" t="s">
        <v>1877</v>
      </c>
      <c r="I301" t="s">
        <v>1878</v>
      </c>
    </row>
    <row r="302" spans="1:9" x14ac:dyDescent="0.25">
      <c r="A302" t="s">
        <v>2148</v>
      </c>
      <c r="B302" t="s">
        <v>91</v>
      </c>
      <c r="C302" t="s">
        <v>371</v>
      </c>
      <c r="D302" t="s">
        <v>372</v>
      </c>
      <c r="E302" t="s">
        <v>797</v>
      </c>
      <c r="F302" t="s">
        <v>1755</v>
      </c>
      <c r="G302" t="s">
        <v>1756</v>
      </c>
      <c r="H302" t="s">
        <v>1757</v>
      </c>
      <c r="I302" t="s">
        <v>1758</v>
      </c>
    </row>
    <row r="303" spans="1:9" x14ac:dyDescent="0.25">
      <c r="A303" t="s">
        <v>2149</v>
      </c>
      <c r="B303" t="s">
        <v>91</v>
      </c>
      <c r="C303" t="s">
        <v>362</v>
      </c>
      <c r="D303" t="s">
        <v>2150</v>
      </c>
      <c r="E303" t="s">
        <v>819</v>
      </c>
      <c r="F303" t="s">
        <v>1796</v>
      </c>
      <c r="G303" t="s">
        <v>1797</v>
      </c>
      <c r="H303" t="s">
        <v>1798</v>
      </c>
      <c r="I303" t="s">
        <v>1799</v>
      </c>
    </row>
    <row r="304" spans="1:9" x14ac:dyDescent="0.25">
      <c r="A304" t="s">
        <v>2151</v>
      </c>
      <c r="B304" t="s">
        <v>91</v>
      </c>
      <c r="C304" t="s">
        <v>920</v>
      </c>
      <c r="D304" t="s">
        <v>2152</v>
      </c>
      <c r="E304" t="s">
        <v>919</v>
      </c>
      <c r="F304" t="s">
        <v>1425</v>
      </c>
      <c r="G304" t="s">
        <v>1426</v>
      </c>
      <c r="H304" t="s">
        <v>1427</v>
      </c>
      <c r="I304" t="s">
        <v>1428</v>
      </c>
    </row>
    <row r="305" spans="1:9" x14ac:dyDescent="0.25">
      <c r="A305" t="s">
        <v>2153</v>
      </c>
      <c r="B305" t="s">
        <v>91</v>
      </c>
      <c r="C305" t="s">
        <v>122</v>
      </c>
      <c r="D305" t="s">
        <v>123</v>
      </c>
      <c r="E305" t="s">
        <v>537</v>
      </c>
      <c r="F305" t="s">
        <v>1450</v>
      </c>
      <c r="G305" t="s">
        <v>1451</v>
      </c>
      <c r="H305" t="s">
        <v>1452</v>
      </c>
      <c r="I305" t="s">
        <v>1453</v>
      </c>
    </row>
    <row r="306" spans="1:9" x14ac:dyDescent="0.25">
      <c r="A306" t="s">
        <v>2154</v>
      </c>
      <c r="B306" t="s">
        <v>91</v>
      </c>
      <c r="C306" t="s">
        <v>426</v>
      </c>
      <c r="D306" t="s">
        <v>427</v>
      </c>
      <c r="E306" t="s">
        <v>1161</v>
      </c>
      <c r="F306" t="s">
        <v>1707</v>
      </c>
      <c r="G306" t="s">
        <v>1708</v>
      </c>
      <c r="H306" t="s">
        <v>1709</v>
      </c>
      <c r="I306" t="s">
        <v>1710</v>
      </c>
    </row>
    <row r="307" spans="1:9" x14ac:dyDescent="0.25">
      <c r="A307" t="s">
        <v>2155</v>
      </c>
      <c r="B307" t="s">
        <v>91</v>
      </c>
      <c r="C307" t="s">
        <v>128</v>
      </c>
      <c r="D307" t="s">
        <v>148</v>
      </c>
      <c r="E307" t="s">
        <v>580</v>
      </c>
      <c r="F307" t="s">
        <v>1565</v>
      </c>
      <c r="G307" t="s">
        <v>1566</v>
      </c>
      <c r="H307" t="s">
        <v>1906</v>
      </c>
      <c r="I307" t="s">
        <v>1907</v>
      </c>
    </row>
    <row r="308" spans="1:9" x14ac:dyDescent="0.25">
      <c r="A308" t="s">
        <v>2156</v>
      </c>
      <c r="B308" t="s">
        <v>91</v>
      </c>
      <c r="C308" t="s">
        <v>163</v>
      </c>
      <c r="D308" t="s">
        <v>2157</v>
      </c>
      <c r="E308" t="s">
        <v>560</v>
      </c>
      <c r="F308" t="s">
        <v>1353</v>
      </c>
      <c r="G308" t="s">
        <v>1354</v>
      </c>
      <c r="H308" t="s">
        <v>1355</v>
      </c>
      <c r="I308" t="s">
        <v>1356</v>
      </c>
    </row>
    <row r="309" spans="1:9" x14ac:dyDescent="0.25">
      <c r="A309" t="s">
        <v>2158</v>
      </c>
      <c r="B309" t="s">
        <v>91</v>
      </c>
      <c r="C309" t="s">
        <v>1112</v>
      </c>
      <c r="D309" t="s">
        <v>1113</v>
      </c>
      <c r="E309" t="s">
        <v>1111</v>
      </c>
      <c r="F309" t="s">
        <v>1676</v>
      </c>
      <c r="G309" t="s">
        <v>1677</v>
      </c>
      <c r="H309" t="s">
        <v>1678</v>
      </c>
      <c r="I309" t="s">
        <v>1679</v>
      </c>
    </row>
    <row r="310" spans="1:9" x14ac:dyDescent="0.25">
      <c r="A310" t="s">
        <v>2159</v>
      </c>
      <c r="B310" t="s">
        <v>91</v>
      </c>
      <c r="C310" t="s">
        <v>696</v>
      </c>
      <c r="D310" t="s">
        <v>2160</v>
      </c>
      <c r="E310" t="s">
        <v>695</v>
      </c>
      <c r="F310" t="s">
        <v>2161</v>
      </c>
      <c r="G310" t="s">
        <v>2162</v>
      </c>
      <c r="H310" t="s">
        <v>2163</v>
      </c>
      <c r="I310" t="s">
        <v>2164</v>
      </c>
    </row>
    <row r="311" spans="1:9" x14ac:dyDescent="0.25">
      <c r="A311" t="s">
        <v>2165</v>
      </c>
      <c r="B311" t="s">
        <v>91</v>
      </c>
      <c r="C311" t="s">
        <v>880</v>
      </c>
      <c r="D311" t="s">
        <v>2166</v>
      </c>
      <c r="E311" t="s">
        <v>879</v>
      </c>
      <c r="F311" t="s">
        <v>1599</v>
      </c>
      <c r="G311" t="s">
        <v>1600</v>
      </c>
      <c r="H311" t="s">
        <v>1788</v>
      </c>
      <c r="I311" t="s">
        <v>1789</v>
      </c>
    </row>
    <row r="312" spans="1:9" x14ac:dyDescent="0.25">
      <c r="A312" t="s">
        <v>2167</v>
      </c>
      <c r="B312" t="s">
        <v>91</v>
      </c>
      <c r="C312" t="s">
        <v>195</v>
      </c>
      <c r="D312" t="s">
        <v>197</v>
      </c>
      <c r="E312" t="s">
        <v>961</v>
      </c>
      <c r="F312" t="s">
        <v>1868</v>
      </c>
      <c r="G312" t="s">
        <v>1869</v>
      </c>
      <c r="H312" t="s">
        <v>1870</v>
      </c>
      <c r="I312" t="s">
        <v>1871</v>
      </c>
    </row>
    <row r="313" spans="1:9" x14ac:dyDescent="0.25">
      <c r="A313" t="s">
        <v>2168</v>
      </c>
      <c r="B313" t="s">
        <v>91</v>
      </c>
      <c r="C313" t="s">
        <v>180</v>
      </c>
      <c r="D313" t="s">
        <v>181</v>
      </c>
      <c r="E313" t="s">
        <v>1140</v>
      </c>
      <c r="F313" t="s">
        <v>2020</v>
      </c>
      <c r="G313" t="s">
        <v>2021</v>
      </c>
      <c r="H313" t="s">
        <v>2053</v>
      </c>
      <c r="I313" t="s">
        <v>2054</v>
      </c>
    </row>
    <row r="314" spans="1:9" x14ac:dyDescent="0.25">
      <c r="A314" t="s">
        <v>2169</v>
      </c>
      <c r="B314" t="s">
        <v>91</v>
      </c>
      <c r="C314" t="s">
        <v>296</v>
      </c>
      <c r="D314" t="s">
        <v>505</v>
      </c>
      <c r="E314" t="s">
        <v>606</v>
      </c>
      <c r="F314" t="s">
        <v>1400</v>
      </c>
      <c r="G314" t="s">
        <v>1401</v>
      </c>
      <c r="H314" t="s">
        <v>1402</v>
      </c>
      <c r="I314" t="s">
        <v>1403</v>
      </c>
    </row>
    <row r="315" spans="1:9" x14ac:dyDescent="0.25">
      <c r="A315" t="s">
        <v>2170</v>
      </c>
      <c r="B315" t="s">
        <v>91</v>
      </c>
      <c r="C315" t="s">
        <v>443</v>
      </c>
      <c r="D315" t="s">
        <v>475</v>
      </c>
      <c r="E315" t="s">
        <v>780</v>
      </c>
      <c r="F315" t="s">
        <v>1391</v>
      </c>
      <c r="G315" t="s">
        <v>1392</v>
      </c>
      <c r="H315" t="s">
        <v>2171</v>
      </c>
      <c r="I315" t="s">
        <v>2172</v>
      </c>
    </row>
    <row r="316" spans="1:9" x14ac:dyDescent="0.25">
      <c r="A316" t="s">
        <v>2173</v>
      </c>
      <c r="B316" t="s">
        <v>91</v>
      </c>
      <c r="C316" t="s">
        <v>236</v>
      </c>
      <c r="D316" t="s">
        <v>237</v>
      </c>
      <c r="E316" t="s">
        <v>1020</v>
      </c>
      <c r="F316" t="s">
        <v>1796</v>
      </c>
      <c r="G316" t="s">
        <v>1797</v>
      </c>
      <c r="H316" t="s">
        <v>1798</v>
      </c>
      <c r="I316" t="s">
        <v>1799</v>
      </c>
    </row>
    <row r="317" spans="1:9" x14ac:dyDescent="0.25">
      <c r="A317" t="s">
        <v>2174</v>
      </c>
      <c r="B317" t="s">
        <v>91</v>
      </c>
      <c r="C317" t="s">
        <v>1154</v>
      </c>
      <c r="D317" t="s">
        <v>1155</v>
      </c>
      <c r="E317" t="s">
        <v>1153</v>
      </c>
      <c r="F317" t="s">
        <v>1419</v>
      </c>
      <c r="G317" t="s">
        <v>1420</v>
      </c>
      <c r="H317" t="s">
        <v>1887</v>
      </c>
      <c r="I317" t="s">
        <v>1888</v>
      </c>
    </row>
    <row r="318" spans="1:9" x14ac:dyDescent="0.25">
      <c r="A318" t="s">
        <v>2175</v>
      </c>
      <c r="B318" t="s">
        <v>91</v>
      </c>
      <c r="C318" t="s">
        <v>108</v>
      </c>
      <c r="D318" t="s">
        <v>295</v>
      </c>
      <c r="E318" t="s">
        <v>804</v>
      </c>
      <c r="F318" t="s">
        <v>1375</v>
      </c>
      <c r="G318" t="s">
        <v>1376</v>
      </c>
      <c r="H318" t="s">
        <v>1377</v>
      </c>
      <c r="I318" t="s">
        <v>1378</v>
      </c>
    </row>
    <row r="319" spans="1:9" x14ac:dyDescent="0.25">
      <c r="A319" t="s">
        <v>2176</v>
      </c>
      <c r="B319" t="s">
        <v>91</v>
      </c>
      <c r="C319" t="s">
        <v>345</v>
      </c>
      <c r="D319" t="s">
        <v>346</v>
      </c>
      <c r="E319" t="s">
        <v>1079</v>
      </c>
      <c r="F319" t="s">
        <v>1506</v>
      </c>
      <c r="G319" t="s">
        <v>1507</v>
      </c>
      <c r="H319" t="s">
        <v>1508</v>
      </c>
      <c r="I319" t="s">
        <v>1509</v>
      </c>
    </row>
    <row r="320" spans="1:9" x14ac:dyDescent="0.25">
      <c r="A320" t="s">
        <v>2177</v>
      </c>
      <c r="B320" t="s">
        <v>91</v>
      </c>
      <c r="C320" t="s">
        <v>99</v>
      </c>
      <c r="D320" t="s">
        <v>734</v>
      </c>
      <c r="E320" t="s">
        <v>733</v>
      </c>
      <c r="F320" t="s">
        <v>1396</v>
      </c>
      <c r="G320" t="s">
        <v>1397</v>
      </c>
      <c r="H320" t="s">
        <v>1398</v>
      </c>
      <c r="I320" t="s">
        <v>1397</v>
      </c>
    </row>
    <row r="321" spans="1:9" x14ac:dyDescent="0.25">
      <c r="A321" t="s">
        <v>2178</v>
      </c>
      <c r="B321" t="s">
        <v>91</v>
      </c>
      <c r="C321" t="s">
        <v>223</v>
      </c>
      <c r="D321" t="s">
        <v>447</v>
      </c>
      <c r="E321" t="s">
        <v>630</v>
      </c>
      <c r="F321" t="s">
        <v>1725</v>
      </c>
      <c r="G321" t="s">
        <v>1726</v>
      </c>
      <c r="H321" t="s">
        <v>2045</v>
      </c>
      <c r="I321" t="s">
        <v>2046</v>
      </c>
    </row>
    <row r="322" spans="1:9" x14ac:dyDescent="0.25">
      <c r="A322" t="s">
        <v>2179</v>
      </c>
      <c r="B322" t="s">
        <v>91</v>
      </c>
      <c r="C322" t="s">
        <v>138</v>
      </c>
      <c r="D322" t="s">
        <v>139</v>
      </c>
      <c r="E322" t="s">
        <v>657</v>
      </c>
      <c r="F322" t="s">
        <v>1461</v>
      </c>
      <c r="G322" t="s">
        <v>1462</v>
      </c>
      <c r="H322" t="s">
        <v>1669</v>
      </c>
      <c r="I322" t="s">
        <v>1670</v>
      </c>
    </row>
    <row r="323" spans="1:9" x14ac:dyDescent="0.25">
      <c r="A323" t="s">
        <v>2180</v>
      </c>
      <c r="B323" t="s">
        <v>91</v>
      </c>
      <c r="C323" t="s">
        <v>365</v>
      </c>
      <c r="D323" t="s">
        <v>2181</v>
      </c>
      <c r="E323" t="s">
        <v>678</v>
      </c>
      <c r="F323" t="s">
        <v>1676</v>
      </c>
      <c r="G323" t="s">
        <v>1677</v>
      </c>
      <c r="H323" t="s">
        <v>1678</v>
      </c>
      <c r="I323" t="s">
        <v>1679</v>
      </c>
    </row>
    <row r="324" spans="1:9" x14ac:dyDescent="0.25">
      <c r="A324" t="s">
        <v>2182</v>
      </c>
      <c r="B324" t="s">
        <v>91</v>
      </c>
      <c r="C324" t="s">
        <v>490</v>
      </c>
      <c r="D324" t="s">
        <v>2183</v>
      </c>
      <c r="E324" t="s">
        <v>615</v>
      </c>
      <c r="F324" t="s">
        <v>1414</v>
      </c>
      <c r="G324" t="s">
        <v>1415</v>
      </c>
      <c r="H324" t="s">
        <v>1768</v>
      </c>
      <c r="I324" t="s">
        <v>1769</v>
      </c>
    </row>
    <row r="325" spans="1:9" x14ac:dyDescent="0.25">
      <c r="A325" t="s">
        <v>2184</v>
      </c>
      <c r="B325" t="s">
        <v>91</v>
      </c>
      <c r="C325" t="s">
        <v>122</v>
      </c>
      <c r="D325" t="s">
        <v>290</v>
      </c>
      <c r="E325" t="s">
        <v>537</v>
      </c>
    </row>
    <row r="326" spans="1:9" x14ac:dyDescent="0.25">
      <c r="A326" t="s">
        <v>2185</v>
      </c>
      <c r="B326" t="s">
        <v>91</v>
      </c>
      <c r="C326" t="s">
        <v>131</v>
      </c>
      <c r="D326" t="s">
        <v>2186</v>
      </c>
      <c r="E326" t="s">
        <v>645</v>
      </c>
      <c r="F326" t="s">
        <v>1606</v>
      </c>
      <c r="G326" t="s">
        <v>1607</v>
      </c>
      <c r="H326" t="s">
        <v>1608</v>
      </c>
      <c r="I326" t="s">
        <v>1609</v>
      </c>
    </row>
    <row r="327" spans="1:9" x14ac:dyDescent="0.25">
      <c r="A327" t="s">
        <v>2187</v>
      </c>
      <c r="B327" t="s">
        <v>91</v>
      </c>
      <c r="C327" t="s">
        <v>399</v>
      </c>
      <c r="D327" t="s">
        <v>638</v>
      </c>
      <c r="E327" t="s">
        <v>637</v>
      </c>
      <c r="F327" t="s">
        <v>1445</v>
      </c>
      <c r="G327" t="s">
        <v>1446</v>
      </c>
      <c r="H327" t="s">
        <v>1949</v>
      </c>
      <c r="I327" t="s">
        <v>1950</v>
      </c>
    </row>
    <row r="328" spans="1:9" x14ac:dyDescent="0.25">
      <c r="A328" t="s">
        <v>2188</v>
      </c>
      <c r="B328" t="s">
        <v>91</v>
      </c>
      <c r="C328" t="s">
        <v>845</v>
      </c>
      <c r="D328" t="s">
        <v>846</v>
      </c>
      <c r="E328" t="s">
        <v>844</v>
      </c>
      <c r="F328" t="s">
        <v>1477</v>
      </c>
      <c r="G328" t="s">
        <v>1478</v>
      </c>
      <c r="H328" t="s">
        <v>2189</v>
      </c>
      <c r="I328" t="s">
        <v>2190</v>
      </c>
    </row>
    <row r="329" spans="1:9" x14ac:dyDescent="0.25">
      <c r="A329" t="s">
        <v>2191</v>
      </c>
      <c r="B329" t="s">
        <v>91</v>
      </c>
      <c r="C329" t="s">
        <v>1131</v>
      </c>
      <c r="D329" t="s">
        <v>1132</v>
      </c>
      <c r="E329" t="s">
        <v>1130</v>
      </c>
      <c r="F329" t="s">
        <v>1782</v>
      </c>
      <c r="G329" t="s">
        <v>1783</v>
      </c>
      <c r="H329" t="s">
        <v>2192</v>
      </c>
      <c r="I329" t="s">
        <v>2193</v>
      </c>
    </row>
    <row r="330" spans="1:9" x14ac:dyDescent="0.25">
      <c r="A330" t="s">
        <v>2194</v>
      </c>
      <c r="B330" t="s">
        <v>91</v>
      </c>
      <c r="C330" t="s">
        <v>1051</v>
      </c>
      <c r="D330" t="s">
        <v>2195</v>
      </c>
      <c r="E330" t="s">
        <v>1050</v>
      </c>
      <c r="F330" t="s">
        <v>1689</v>
      </c>
      <c r="G330" t="s">
        <v>1690</v>
      </c>
      <c r="H330" t="s">
        <v>2016</v>
      </c>
      <c r="I330" t="s">
        <v>1518</v>
      </c>
    </row>
    <row r="331" spans="1:9" x14ac:dyDescent="0.25">
      <c r="A331" t="s">
        <v>2196</v>
      </c>
      <c r="B331" t="s">
        <v>91</v>
      </c>
      <c r="C331" t="s">
        <v>487</v>
      </c>
      <c r="D331" t="s">
        <v>2197</v>
      </c>
      <c r="E331" t="s">
        <v>1036</v>
      </c>
      <c r="F331" t="s">
        <v>1425</v>
      </c>
      <c r="G331" t="s">
        <v>1426</v>
      </c>
      <c r="H331" t="s">
        <v>1697</v>
      </c>
      <c r="I331" t="s">
        <v>1698</v>
      </c>
    </row>
    <row r="332" spans="1:9" x14ac:dyDescent="0.25">
      <c r="A332" t="s">
        <v>2198</v>
      </c>
      <c r="B332" t="s">
        <v>91</v>
      </c>
      <c r="C332" t="s">
        <v>348</v>
      </c>
      <c r="D332" t="s">
        <v>2199</v>
      </c>
      <c r="E332" t="s">
        <v>619</v>
      </c>
      <c r="F332" t="s">
        <v>1414</v>
      </c>
      <c r="G332" t="s">
        <v>1415</v>
      </c>
      <c r="H332" t="s">
        <v>1416</v>
      </c>
      <c r="I332" t="s">
        <v>1417</v>
      </c>
    </row>
    <row r="333" spans="1:9" x14ac:dyDescent="0.25">
      <c r="A333" t="s">
        <v>2200</v>
      </c>
      <c r="B333" t="s">
        <v>91</v>
      </c>
      <c r="C333" t="s">
        <v>445</v>
      </c>
      <c r="D333" t="s">
        <v>446</v>
      </c>
      <c r="E333" t="s">
        <v>838</v>
      </c>
      <c r="F333" t="s">
        <v>1626</v>
      </c>
      <c r="G333" t="s">
        <v>1627</v>
      </c>
      <c r="H333" t="s">
        <v>2201</v>
      </c>
      <c r="I333" t="s">
        <v>2202</v>
      </c>
    </row>
    <row r="334" spans="1:9" x14ac:dyDescent="0.25">
      <c r="A334" t="s">
        <v>2203</v>
      </c>
      <c r="B334" t="s">
        <v>91</v>
      </c>
      <c r="C334" t="s">
        <v>230</v>
      </c>
      <c r="D334" t="s">
        <v>326</v>
      </c>
      <c r="E334" t="s">
        <v>861</v>
      </c>
      <c r="F334" t="s">
        <v>1782</v>
      </c>
      <c r="G334" t="s">
        <v>1783</v>
      </c>
      <c r="H334" t="s">
        <v>2204</v>
      </c>
      <c r="I334" t="s">
        <v>2205</v>
      </c>
    </row>
    <row r="335" spans="1:9" x14ac:dyDescent="0.25">
      <c r="A335" t="s">
        <v>2206</v>
      </c>
      <c r="B335" t="s">
        <v>91</v>
      </c>
      <c r="C335" t="s">
        <v>278</v>
      </c>
      <c r="D335" t="s">
        <v>279</v>
      </c>
      <c r="E335" t="s">
        <v>1102</v>
      </c>
      <c r="F335" t="s">
        <v>1565</v>
      </c>
      <c r="G335" t="s">
        <v>1566</v>
      </c>
      <c r="H335" t="s">
        <v>2207</v>
      </c>
      <c r="I335" t="s">
        <v>2208</v>
      </c>
    </row>
    <row r="336" spans="1:9" x14ac:dyDescent="0.25">
      <c r="A336" t="s">
        <v>2209</v>
      </c>
      <c r="B336" t="s">
        <v>91</v>
      </c>
      <c r="C336" t="s">
        <v>460</v>
      </c>
      <c r="D336" t="s">
        <v>2210</v>
      </c>
      <c r="E336" t="s">
        <v>875</v>
      </c>
      <c r="F336" t="s">
        <v>1445</v>
      </c>
      <c r="G336" t="s">
        <v>1446</v>
      </c>
      <c r="H336" t="s">
        <v>1949</v>
      </c>
      <c r="I336" t="s">
        <v>1950</v>
      </c>
    </row>
    <row r="337" spans="1:9" x14ac:dyDescent="0.25">
      <c r="A337" t="s">
        <v>2211</v>
      </c>
      <c r="B337" t="s">
        <v>91</v>
      </c>
      <c r="C337" t="s">
        <v>367</v>
      </c>
      <c r="D337" t="s">
        <v>387</v>
      </c>
      <c r="E337" t="s">
        <v>553</v>
      </c>
      <c r="F337" t="s">
        <v>1445</v>
      </c>
      <c r="G337" t="s">
        <v>1446</v>
      </c>
      <c r="H337" t="s">
        <v>1447</v>
      </c>
      <c r="I337" t="s">
        <v>1448</v>
      </c>
    </row>
    <row r="338" spans="1:9" x14ac:dyDescent="0.25">
      <c r="A338" t="s">
        <v>2212</v>
      </c>
      <c r="B338" t="s">
        <v>91</v>
      </c>
      <c r="C338" t="s">
        <v>974</v>
      </c>
      <c r="D338" t="s">
        <v>975</v>
      </c>
      <c r="E338" t="s">
        <v>973</v>
      </c>
      <c r="F338" t="s">
        <v>1594</v>
      </c>
      <c r="G338" t="s">
        <v>1595</v>
      </c>
      <c r="H338" t="s">
        <v>1596</v>
      </c>
      <c r="I338" t="s">
        <v>1597</v>
      </c>
    </row>
    <row r="339" spans="1:9" x14ac:dyDescent="0.25">
      <c r="A339" t="s">
        <v>2213</v>
      </c>
      <c r="B339" t="s">
        <v>91</v>
      </c>
      <c r="C339" t="s">
        <v>106</v>
      </c>
      <c r="D339" t="s">
        <v>112</v>
      </c>
      <c r="E339" t="s">
        <v>566</v>
      </c>
      <c r="F339" t="s">
        <v>1506</v>
      </c>
      <c r="G339" t="s">
        <v>1507</v>
      </c>
      <c r="H339" t="s">
        <v>1958</v>
      </c>
      <c r="I339" t="s">
        <v>1959</v>
      </c>
    </row>
    <row r="340" spans="1:9" x14ac:dyDescent="0.25">
      <c r="A340" t="s">
        <v>2214</v>
      </c>
      <c r="B340" t="s">
        <v>91</v>
      </c>
      <c r="C340" t="s">
        <v>223</v>
      </c>
      <c r="D340" t="s">
        <v>224</v>
      </c>
      <c r="E340" t="s">
        <v>630</v>
      </c>
      <c r="F340" t="s">
        <v>1725</v>
      </c>
      <c r="G340" t="s">
        <v>1726</v>
      </c>
      <c r="H340" t="s">
        <v>2045</v>
      </c>
      <c r="I340" t="s">
        <v>2046</v>
      </c>
    </row>
    <row r="341" spans="1:9" x14ac:dyDescent="0.25">
      <c r="A341" t="s">
        <v>2215</v>
      </c>
      <c r="B341" t="s">
        <v>91</v>
      </c>
      <c r="C341" t="s">
        <v>99</v>
      </c>
      <c r="D341" t="s">
        <v>2216</v>
      </c>
      <c r="E341" t="s">
        <v>733</v>
      </c>
      <c r="F341" t="s">
        <v>1396</v>
      </c>
      <c r="G341" t="s">
        <v>1397</v>
      </c>
      <c r="H341" t="s">
        <v>1398</v>
      </c>
      <c r="I341" t="s">
        <v>1397</v>
      </c>
    </row>
    <row r="342" spans="1:9" x14ac:dyDescent="0.25">
      <c r="A342" t="s">
        <v>2217</v>
      </c>
      <c r="B342" t="s">
        <v>91</v>
      </c>
      <c r="C342" t="s">
        <v>1214</v>
      </c>
      <c r="D342" t="s">
        <v>2218</v>
      </c>
      <c r="E342" t="s">
        <v>1213</v>
      </c>
      <c r="F342" t="s">
        <v>1483</v>
      </c>
      <c r="G342" t="s">
        <v>1484</v>
      </c>
      <c r="H342" t="s">
        <v>1485</v>
      </c>
      <c r="I342" t="s">
        <v>1486</v>
      </c>
    </row>
    <row r="343" spans="1:9" x14ac:dyDescent="0.25">
      <c r="A343" t="s">
        <v>2219</v>
      </c>
      <c r="B343" t="s">
        <v>91</v>
      </c>
      <c r="C343" t="s">
        <v>717</v>
      </c>
      <c r="D343" t="s">
        <v>2220</v>
      </c>
      <c r="E343" t="s">
        <v>716</v>
      </c>
      <c r="F343" t="s">
        <v>1450</v>
      </c>
      <c r="G343" t="s">
        <v>1451</v>
      </c>
      <c r="H343" t="s">
        <v>1622</v>
      </c>
      <c r="I343" t="s">
        <v>1437</v>
      </c>
    </row>
    <row r="344" spans="1:9" x14ac:dyDescent="0.25">
      <c r="A344" t="s">
        <v>2221</v>
      </c>
      <c r="B344" t="s">
        <v>91</v>
      </c>
      <c r="C344" t="s">
        <v>208</v>
      </c>
      <c r="D344" t="s">
        <v>209</v>
      </c>
      <c r="E344" t="s">
        <v>924</v>
      </c>
      <c r="F344" t="s">
        <v>1445</v>
      </c>
      <c r="G344" t="s">
        <v>1446</v>
      </c>
      <c r="H344" t="s">
        <v>2222</v>
      </c>
      <c r="I344" t="s">
        <v>2223</v>
      </c>
    </row>
    <row r="345" spans="1:9" x14ac:dyDescent="0.25">
      <c r="A345" t="s">
        <v>2224</v>
      </c>
      <c r="B345" t="s">
        <v>91</v>
      </c>
      <c r="C345" t="s">
        <v>979</v>
      </c>
      <c r="D345" t="s">
        <v>2225</v>
      </c>
      <c r="E345" t="s">
        <v>978</v>
      </c>
      <c r="F345" t="s">
        <v>1425</v>
      </c>
      <c r="G345" t="s">
        <v>1426</v>
      </c>
      <c r="H345" t="s">
        <v>1431</v>
      </c>
      <c r="I345" t="s">
        <v>1432</v>
      </c>
    </row>
    <row r="346" spans="1:9" x14ac:dyDescent="0.25">
      <c r="A346" t="s">
        <v>2226</v>
      </c>
      <c r="B346" t="s">
        <v>91</v>
      </c>
      <c r="C346" t="s">
        <v>300</v>
      </c>
      <c r="D346" t="s">
        <v>2227</v>
      </c>
      <c r="E346" t="s">
        <v>1116</v>
      </c>
      <c r="F346" t="s">
        <v>1731</v>
      </c>
      <c r="G346" t="s">
        <v>1732</v>
      </c>
      <c r="H346" t="s">
        <v>2134</v>
      </c>
      <c r="I346" t="s">
        <v>2135</v>
      </c>
    </row>
    <row r="347" spans="1:9" x14ac:dyDescent="0.25">
      <c r="A347" t="s">
        <v>2228</v>
      </c>
      <c r="B347" t="s">
        <v>91</v>
      </c>
      <c r="C347" t="s">
        <v>153</v>
      </c>
      <c r="D347" t="s">
        <v>154</v>
      </c>
      <c r="E347" t="s">
        <v>684</v>
      </c>
      <c r="F347" t="s">
        <v>1414</v>
      </c>
      <c r="G347" t="s">
        <v>1415</v>
      </c>
      <c r="H347" t="s">
        <v>1768</v>
      </c>
      <c r="I347" t="s">
        <v>1769</v>
      </c>
    </row>
    <row r="348" spans="1:9" x14ac:dyDescent="0.25">
      <c r="A348" t="s">
        <v>2229</v>
      </c>
      <c r="B348" t="s">
        <v>91</v>
      </c>
      <c r="C348" t="s">
        <v>865</v>
      </c>
      <c r="D348" t="s">
        <v>866</v>
      </c>
      <c r="E348" t="s">
        <v>864</v>
      </c>
      <c r="F348" t="s">
        <v>1391</v>
      </c>
      <c r="G348" t="s">
        <v>1392</v>
      </c>
      <c r="H348" t="s">
        <v>1393</v>
      </c>
      <c r="I348" t="s">
        <v>1394</v>
      </c>
    </row>
    <row r="349" spans="1:9" x14ac:dyDescent="0.25">
      <c r="A349" t="s">
        <v>2230</v>
      </c>
      <c r="B349" t="s">
        <v>91</v>
      </c>
      <c r="C349" t="s">
        <v>367</v>
      </c>
      <c r="D349" t="s">
        <v>501</v>
      </c>
      <c r="E349" t="s">
        <v>553</v>
      </c>
      <c r="F349" t="s">
        <v>1445</v>
      </c>
      <c r="G349" t="s">
        <v>1446</v>
      </c>
      <c r="H349" t="s">
        <v>2079</v>
      </c>
      <c r="I349" t="s">
        <v>2080</v>
      </c>
    </row>
    <row r="350" spans="1:9" x14ac:dyDescent="0.25">
      <c r="A350" t="s">
        <v>2231</v>
      </c>
      <c r="B350" t="s">
        <v>91</v>
      </c>
      <c r="C350" t="s">
        <v>1328</v>
      </c>
      <c r="D350" t="s">
        <v>2232</v>
      </c>
      <c r="E350" t="s">
        <v>1327</v>
      </c>
      <c r="F350" t="s">
        <v>2020</v>
      </c>
      <c r="G350" t="s">
        <v>2021</v>
      </c>
      <c r="H350" t="s">
        <v>2022</v>
      </c>
      <c r="I350" t="s">
        <v>2023</v>
      </c>
    </row>
    <row r="351" spans="1:9" x14ac:dyDescent="0.25">
      <c r="A351" t="s">
        <v>2233</v>
      </c>
      <c r="B351" t="s">
        <v>91</v>
      </c>
      <c r="C351" t="s">
        <v>136</v>
      </c>
      <c r="D351" t="s">
        <v>137</v>
      </c>
      <c r="E351" t="s">
        <v>858</v>
      </c>
      <c r="F351" t="s">
        <v>1626</v>
      </c>
      <c r="G351" t="s">
        <v>1627</v>
      </c>
      <c r="H351" t="s">
        <v>2201</v>
      </c>
      <c r="I351" t="s">
        <v>2202</v>
      </c>
    </row>
    <row r="352" spans="1:9" x14ac:dyDescent="0.25">
      <c r="A352" t="s">
        <v>2234</v>
      </c>
      <c r="B352" t="s">
        <v>91</v>
      </c>
      <c r="C352" t="s">
        <v>153</v>
      </c>
      <c r="D352" t="s">
        <v>232</v>
      </c>
      <c r="E352" t="s">
        <v>684</v>
      </c>
      <c r="F352" t="s">
        <v>1414</v>
      </c>
      <c r="G352" t="s">
        <v>1415</v>
      </c>
      <c r="H352" t="s">
        <v>1768</v>
      </c>
      <c r="I352" t="s">
        <v>1769</v>
      </c>
    </row>
    <row r="353" spans="1:9" x14ac:dyDescent="0.25">
      <c r="A353" t="s">
        <v>2235</v>
      </c>
      <c r="B353" t="s">
        <v>91</v>
      </c>
      <c r="C353" t="s">
        <v>276</v>
      </c>
      <c r="D353" t="s">
        <v>277</v>
      </c>
      <c r="E353" t="s">
        <v>896</v>
      </c>
      <c r="F353" t="s">
        <v>1506</v>
      </c>
      <c r="G353" t="s">
        <v>1507</v>
      </c>
      <c r="H353" t="s">
        <v>1508</v>
      </c>
      <c r="I353" t="s">
        <v>1509</v>
      </c>
    </row>
    <row r="354" spans="1:9" x14ac:dyDescent="0.25">
      <c r="A354" t="s">
        <v>2236</v>
      </c>
      <c r="B354" t="s">
        <v>91</v>
      </c>
      <c r="C354" t="s">
        <v>389</v>
      </c>
      <c r="D354" t="s">
        <v>390</v>
      </c>
      <c r="E354" t="s">
        <v>597</v>
      </c>
      <c r="F354" t="s">
        <v>2237</v>
      </c>
      <c r="G354" t="s">
        <v>2238</v>
      </c>
      <c r="H354" t="s">
        <v>2239</v>
      </c>
      <c r="I354" t="s">
        <v>2240</v>
      </c>
    </row>
    <row r="355" spans="1:9" x14ac:dyDescent="0.25">
      <c r="A355" t="s">
        <v>2241</v>
      </c>
      <c r="B355" t="s">
        <v>91</v>
      </c>
      <c r="C355" t="s">
        <v>163</v>
      </c>
      <c r="D355" t="s">
        <v>2242</v>
      </c>
      <c r="E355" t="s">
        <v>560</v>
      </c>
      <c r="F355" t="s">
        <v>1353</v>
      </c>
      <c r="G355" t="s">
        <v>1354</v>
      </c>
      <c r="H355" t="s">
        <v>1355</v>
      </c>
      <c r="I355" t="s">
        <v>1356</v>
      </c>
    </row>
    <row r="356" spans="1:9" x14ac:dyDescent="0.25">
      <c r="A356" t="s">
        <v>2243</v>
      </c>
      <c r="B356" t="s">
        <v>91</v>
      </c>
      <c r="C356" t="s">
        <v>1171</v>
      </c>
      <c r="D356" t="s">
        <v>2244</v>
      </c>
      <c r="E356" t="s">
        <v>1170</v>
      </c>
      <c r="F356" t="s">
        <v>1987</v>
      </c>
      <c r="G356" t="s">
        <v>1988</v>
      </c>
      <c r="H356" t="s">
        <v>2245</v>
      </c>
      <c r="I356" t="s">
        <v>2246</v>
      </c>
    </row>
    <row r="357" spans="1:9" x14ac:dyDescent="0.25">
      <c r="A357" t="s">
        <v>2247</v>
      </c>
      <c r="B357" t="s">
        <v>91</v>
      </c>
      <c r="C357" t="s">
        <v>163</v>
      </c>
      <c r="D357" t="s">
        <v>218</v>
      </c>
      <c r="E357" t="s">
        <v>560</v>
      </c>
      <c r="F357" t="s">
        <v>1353</v>
      </c>
      <c r="G357" t="s">
        <v>1354</v>
      </c>
      <c r="H357" t="s">
        <v>2248</v>
      </c>
      <c r="I357" t="s">
        <v>2249</v>
      </c>
    </row>
    <row r="358" spans="1:9" x14ac:dyDescent="0.25">
      <c r="A358" t="s">
        <v>2250</v>
      </c>
      <c r="B358" t="s">
        <v>91</v>
      </c>
      <c r="C358" t="s">
        <v>490</v>
      </c>
      <c r="D358" t="s">
        <v>491</v>
      </c>
      <c r="E358" t="s">
        <v>615</v>
      </c>
      <c r="F358" t="s">
        <v>1414</v>
      </c>
      <c r="G358" t="s">
        <v>1415</v>
      </c>
      <c r="H358" t="s">
        <v>1768</v>
      </c>
      <c r="I358" t="s">
        <v>1769</v>
      </c>
    </row>
    <row r="359" spans="1:9" x14ac:dyDescent="0.25">
      <c r="A359" t="s">
        <v>2251</v>
      </c>
      <c r="B359" t="s">
        <v>91</v>
      </c>
      <c r="C359" t="s">
        <v>195</v>
      </c>
      <c r="D359" t="s">
        <v>2252</v>
      </c>
      <c r="E359" t="s">
        <v>961</v>
      </c>
      <c r="F359" t="s">
        <v>1868</v>
      </c>
      <c r="G359" t="s">
        <v>1869</v>
      </c>
      <c r="H359" t="s">
        <v>1870</v>
      </c>
      <c r="I359" t="s">
        <v>1871</v>
      </c>
    </row>
    <row r="360" spans="1:9" x14ac:dyDescent="0.25">
      <c r="A360" t="s">
        <v>2253</v>
      </c>
      <c r="B360" t="s">
        <v>91</v>
      </c>
      <c r="C360" t="s">
        <v>487</v>
      </c>
      <c r="D360" t="s">
        <v>2254</v>
      </c>
      <c r="E360" t="s">
        <v>1036</v>
      </c>
      <c r="F360" t="s">
        <v>1425</v>
      </c>
      <c r="G360" t="s">
        <v>1426</v>
      </c>
      <c r="H360" t="s">
        <v>1697</v>
      </c>
      <c r="I360" t="s">
        <v>1698</v>
      </c>
    </row>
    <row r="361" spans="1:9" x14ac:dyDescent="0.25">
      <c r="A361" t="s">
        <v>2255</v>
      </c>
      <c r="B361" t="s">
        <v>91</v>
      </c>
      <c r="C361" t="s">
        <v>432</v>
      </c>
      <c r="D361" t="s">
        <v>634</v>
      </c>
      <c r="E361" t="s">
        <v>633</v>
      </c>
      <c r="F361" t="s">
        <v>1750</v>
      </c>
      <c r="G361" t="s">
        <v>1751</v>
      </c>
      <c r="H361" t="s">
        <v>1807</v>
      </c>
      <c r="I361" t="s">
        <v>1808</v>
      </c>
    </row>
    <row r="362" spans="1:9" x14ac:dyDescent="0.25">
      <c r="A362" t="s">
        <v>2256</v>
      </c>
      <c r="B362" t="s">
        <v>91</v>
      </c>
      <c r="C362" t="s">
        <v>250</v>
      </c>
      <c r="D362" t="s">
        <v>251</v>
      </c>
      <c r="E362" t="s">
        <v>855</v>
      </c>
      <c r="F362" t="s">
        <v>1576</v>
      </c>
      <c r="G362" t="s">
        <v>1577</v>
      </c>
      <c r="H362" t="s">
        <v>2006</v>
      </c>
      <c r="I362" t="s">
        <v>2007</v>
      </c>
    </row>
    <row r="363" spans="1:9" x14ac:dyDescent="0.25">
      <c r="A363" t="s">
        <v>2257</v>
      </c>
      <c r="B363" t="s">
        <v>91</v>
      </c>
      <c r="C363" t="s">
        <v>1201</v>
      </c>
      <c r="D363" t="s">
        <v>1202</v>
      </c>
      <c r="E363" t="s">
        <v>1200</v>
      </c>
      <c r="F363" t="s">
        <v>1689</v>
      </c>
      <c r="G363" t="s">
        <v>1690</v>
      </c>
      <c r="H363" t="s">
        <v>1691</v>
      </c>
      <c r="I363" t="s">
        <v>1692</v>
      </c>
    </row>
    <row r="364" spans="1:9" x14ac:dyDescent="0.25">
      <c r="A364" t="s">
        <v>2258</v>
      </c>
      <c r="B364" t="s">
        <v>91</v>
      </c>
      <c r="C364" t="s">
        <v>509</v>
      </c>
      <c r="D364" t="s">
        <v>510</v>
      </c>
      <c r="E364" t="s">
        <v>737</v>
      </c>
      <c r="F364" t="s">
        <v>1419</v>
      </c>
      <c r="G364" t="s">
        <v>1420</v>
      </c>
      <c r="H364" t="s">
        <v>1587</v>
      </c>
      <c r="I364" t="s">
        <v>1588</v>
      </c>
    </row>
    <row r="365" spans="1:9" x14ac:dyDescent="0.25">
      <c r="A365" t="s">
        <v>2259</v>
      </c>
      <c r="B365" t="s">
        <v>91</v>
      </c>
      <c r="C365" t="s">
        <v>300</v>
      </c>
      <c r="D365" t="s">
        <v>2260</v>
      </c>
      <c r="E365" t="s">
        <v>1116</v>
      </c>
      <c r="F365" t="s">
        <v>1731</v>
      </c>
      <c r="G365" t="s">
        <v>1732</v>
      </c>
      <c r="H365" t="s">
        <v>2134</v>
      </c>
      <c r="I365" t="s">
        <v>2135</v>
      </c>
    </row>
    <row r="366" spans="1:9" x14ac:dyDescent="0.25">
      <c r="A366" t="s">
        <v>2261</v>
      </c>
      <c r="B366" t="s">
        <v>91</v>
      </c>
      <c r="C366" t="s">
        <v>1149</v>
      </c>
      <c r="D366" t="s">
        <v>1150</v>
      </c>
      <c r="E366" t="s">
        <v>1148</v>
      </c>
      <c r="F366" t="s">
        <v>1406</v>
      </c>
      <c r="G366" t="s">
        <v>1407</v>
      </c>
      <c r="H366" t="s">
        <v>1408</v>
      </c>
      <c r="I366" t="s">
        <v>1409</v>
      </c>
    </row>
    <row r="367" spans="1:9" x14ac:dyDescent="0.25">
      <c r="A367" t="s">
        <v>2262</v>
      </c>
      <c r="B367" t="s">
        <v>91</v>
      </c>
      <c r="C367" t="s">
        <v>312</v>
      </c>
      <c r="D367" t="s">
        <v>2263</v>
      </c>
      <c r="E367" t="s">
        <v>573</v>
      </c>
      <c r="F367" t="s">
        <v>1731</v>
      </c>
      <c r="G367" t="s">
        <v>1732</v>
      </c>
      <c r="H367" t="s">
        <v>1952</v>
      </c>
      <c r="I367" t="s">
        <v>1953</v>
      </c>
    </row>
    <row r="368" spans="1:9" x14ac:dyDescent="0.25">
      <c r="A368" t="s">
        <v>2264</v>
      </c>
      <c r="B368" t="s">
        <v>91</v>
      </c>
      <c r="C368" t="s">
        <v>318</v>
      </c>
      <c r="D368" t="s">
        <v>319</v>
      </c>
      <c r="E368" t="s">
        <v>849</v>
      </c>
      <c r="F368" t="s">
        <v>1750</v>
      </c>
      <c r="G368" t="s">
        <v>1751</v>
      </c>
      <c r="H368" t="s">
        <v>1752</v>
      </c>
      <c r="I368" t="s">
        <v>1753</v>
      </c>
    </row>
    <row r="369" spans="1:9" x14ac:dyDescent="0.25">
      <c r="A369" t="s">
        <v>2265</v>
      </c>
      <c r="B369" t="s">
        <v>91</v>
      </c>
      <c r="C369" t="s">
        <v>318</v>
      </c>
      <c r="D369" t="s">
        <v>320</v>
      </c>
      <c r="E369" t="s">
        <v>849</v>
      </c>
      <c r="F369" t="s">
        <v>1750</v>
      </c>
      <c r="G369" t="s">
        <v>1751</v>
      </c>
      <c r="H369" t="s">
        <v>1752</v>
      </c>
      <c r="I369" t="s">
        <v>1753</v>
      </c>
    </row>
    <row r="370" spans="1:9" x14ac:dyDescent="0.25">
      <c r="A370" t="s">
        <v>2266</v>
      </c>
      <c r="B370" t="s">
        <v>91</v>
      </c>
      <c r="C370" t="s">
        <v>140</v>
      </c>
      <c r="D370" t="s">
        <v>142</v>
      </c>
      <c r="E370" t="s">
        <v>1144</v>
      </c>
      <c r="F370" t="s">
        <v>1894</v>
      </c>
      <c r="G370" t="s">
        <v>1895</v>
      </c>
      <c r="H370" t="s">
        <v>1896</v>
      </c>
      <c r="I370" t="s">
        <v>1897</v>
      </c>
    </row>
    <row r="371" spans="1:9" x14ac:dyDescent="0.25">
      <c r="A371" t="s">
        <v>2267</v>
      </c>
      <c r="B371" t="s">
        <v>91</v>
      </c>
      <c r="C371" t="s">
        <v>259</v>
      </c>
      <c r="D371" t="s">
        <v>508</v>
      </c>
      <c r="E371" t="s">
        <v>953</v>
      </c>
    </row>
    <row r="372" spans="1:9" x14ac:dyDescent="0.25">
      <c r="A372" t="s">
        <v>2268</v>
      </c>
      <c r="B372" t="s">
        <v>91</v>
      </c>
      <c r="C372" t="s">
        <v>341</v>
      </c>
      <c r="D372" t="s">
        <v>2269</v>
      </c>
      <c r="E372" t="s">
        <v>600</v>
      </c>
      <c r="F372" t="s">
        <v>1370</v>
      </c>
      <c r="G372" t="s">
        <v>1371</v>
      </c>
      <c r="H372" t="s">
        <v>1372</v>
      </c>
      <c r="I372" t="s">
        <v>1373</v>
      </c>
    </row>
    <row r="373" spans="1:9" x14ac:dyDescent="0.25">
      <c r="A373" t="s">
        <v>2270</v>
      </c>
      <c r="B373" t="s">
        <v>91</v>
      </c>
      <c r="C373" t="s">
        <v>367</v>
      </c>
      <c r="D373" t="s">
        <v>554</v>
      </c>
      <c r="E373" t="s">
        <v>553</v>
      </c>
      <c r="F373" t="s">
        <v>1445</v>
      </c>
      <c r="G373" t="s">
        <v>1446</v>
      </c>
      <c r="H373" t="s">
        <v>1447</v>
      </c>
      <c r="I373" t="s">
        <v>1448</v>
      </c>
    </row>
    <row r="374" spans="1:9" x14ac:dyDescent="0.25">
      <c r="A374" t="s">
        <v>2271</v>
      </c>
      <c r="B374" t="s">
        <v>91</v>
      </c>
      <c r="C374" t="s">
        <v>280</v>
      </c>
      <c r="D374" t="s">
        <v>281</v>
      </c>
      <c r="E374" t="s">
        <v>828</v>
      </c>
      <c r="F374" t="s">
        <v>1782</v>
      </c>
      <c r="G374" t="s">
        <v>1783</v>
      </c>
      <c r="H374" t="s">
        <v>2192</v>
      </c>
      <c r="I374" t="s">
        <v>2193</v>
      </c>
    </row>
    <row r="375" spans="1:9" x14ac:dyDescent="0.25">
      <c r="A375" t="s">
        <v>2272</v>
      </c>
      <c r="B375" t="s">
        <v>91</v>
      </c>
      <c r="C375" t="s">
        <v>362</v>
      </c>
      <c r="D375" t="s">
        <v>2273</v>
      </c>
      <c r="E375" t="s">
        <v>819</v>
      </c>
      <c r="F375" t="s">
        <v>1796</v>
      </c>
      <c r="G375" t="s">
        <v>1797</v>
      </c>
      <c r="H375" t="s">
        <v>1798</v>
      </c>
      <c r="I375" t="s">
        <v>1799</v>
      </c>
    </row>
    <row r="376" spans="1:9" x14ac:dyDescent="0.25">
      <c r="A376" t="s">
        <v>2274</v>
      </c>
      <c r="B376" t="s">
        <v>91</v>
      </c>
      <c r="C376" t="s">
        <v>362</v>
      </c>
      <c r="D376" t="s">
        <v>406</v>
      </c>
      <c r="E376" t="s">
        <v>819</v>
      </c>
      <c r="F376" t="s">
        <v>1796</v>
      </c>
      <c r="G376" t="s">
        <v>1797</v>
      </c>
      <c r="H376" t="s">
        <v>1798</v>
      </c>
      <c r="I376" t="s">
        <v>1799</v>
      </c>
    </row>
    <row r="377" spans="1:9" x14ac:dyDescent="0.25">
      <c r="A377" t="s">
        <v>2275</v>
      </c>
      <c r="B377" t="s">
        <v>91</v>
      </c>
      <c r="C377" t="s">
        <v>984</v>
      </c>
      <c r="D377" t="s">
        <v>985</v>
      </c>
      <c r="E377" t="s">
        <v>983</v>
      </c>
      <c r="F377" t="s">
        <v>1822</v>
      </c>
      <c r="G377" t="s">
        <v>1823</v>
      </c>
      <c r="H377" t="s">
        <v>1824</v>
      </c>
      <c r="I377" t="s">
        <v>1825</v>
      </c>
    </row>
    <row r="378" spans="1:9" x14ac:dyDescent="0.25">
      <c r="A378" t="s">
        <v>2276</v>
      </c>
      <c r="B378" t="s">
        <v>91</v>
      </c>
      <c r="C378" t="s">
        <v>348</v>
      </c>
      <c r="D378" t="s">
        <v>620</v>
      </c>
      <c r="E378" t="s">
        <v>619</v>
      </c>
      <c r="F378" t="s">
        <v>1414</v>
      </c>
      <c r="G378" t="s">
        <v>1415</v>
      </c>
      <c r="H378" t="s">
        <v>1416</v>
      </c>
      <c r="I378" t="s">
        <v>1417</v>
      </c>
    </row>
    <row r="379" spans="1:9" x14ac:dyDescent="0.25">
      <c r="A379" t="s">
        <v>2277</v>
      </c>
      <c r="B379" t="s">
        <v>91</v>
      </c>
      <c r="C379" t="s">
        <v>140</v>
      </c>
      <c r="D379" t="s">
        <v>141</v>
      </c>
      <c r="E379" t="s">
        <v>1144</v>
      </c>
      <c r="F379" t="s">
        <v>1894</v>
      </c>
      <c r="G379" t="s">
        <v>1895</v>
      </c>
      <c r="H379" t="s">
        <v>1896</v>
      </c>
      <c r="I379" t="s">
        <v>1897</v>
      </c>
    </row>
    <row r="380" spans="1:9" x14ac:dyDescent="0.25">
      <c r="A380" t="s">
        <v>2278</v>
      </c>
      <c r="B380" t="s">
        <v>91</v>
      </c>
      <c r="C380" t="s">
        <v>865</v>
      </c>
      <c r="D380" t="s">
        <v>2279</v>
      </c>
      <c r="E380" t="s">
        <v>864</v>
      </c>
      <c r="F380" t="s">
        <v>1391</v>
      </c>
      <c r="G380" t="s">
        <v>1392</v>
      </c>
      <c r="H380" t="s">
        <v>1393</v>
      </c>
      <c r="I380" t="s">
        <v>1394</v>
      </c>
    </row>
    <row r="381" spans="1:9" x14ac:dyDescent="0.25">
      <c r="A381" t="s">
        <v>2280</v>
      </c>
      <c r="B381" t="s">
        <v>91</v>
      </c>
      <c r="C381" t="s">
        <v>1201</v>
      </c>
      <c r="D381" t="s">
        <v>2281</v>
      </c>
      <c r="E381" t="s">
        <v>1200</v>
      </c>
      <c r="F381" t="s">
        <v>1689</v>
      </c>
      <c r="G381" t="s">
        <v>1690</v>
      </c>
      <c r="H381" t="s">
        <v>1691</v>
      </c>
      <c r="I381" t="s">
        <v>1692</v>
      </c>
    </row>
    <row r="382" spans="1:9" x14ac:dyDescent="0.25">
      <c r="A382" t="s">
        <v>2282</v>
      </c>
      <c r="B382" t="s">
        <v>91</v>
      </c>
      <c r="C382" t="s">
        <v>200</v>
      </c>
      <c r="D382" t="s">
        <v>309</v>
      </c>
      <c r="E382" t="s">
        <v>757</v>
      </c>
      <c r="F382" t="s">
        <v>1406</v>
      </c>
      <c r="G382" t="s">
        <v>1407</v>
      </c>
      <c r="H382" t="s">
        <v>1644</v>
      </c>
      <c r="I382" t="s">
        <v>1645</v>
      </c>
    </row>
    <row r="383" spans="1:9" x14ac:dyDescent="0.25">
      <c r="A383" t="s">
        <v>2283</v>
      </c>
      <c r="B383" t="s">
        <v>91</v>
      </c>
      <c r="C383" t="s">
        <v>220</v>
      </c>
      <c r="D383" t="s">
        <v>222</v>
      </c>
      <c r="E383" t="s">
        <v>754</v>
      </c>
      <c r="F383" t="s">
        <v>1676</v>
      </c>
      <c r="G383" t="s">
        <v>1677</v>
      </c>
      <c r="H383" t="s">
        <v>1678</v>
      </c>
      <c r="I383" t="s">
        <v>1679</v>
      </c>
    </row>
    <row r="384" spans="1:9" x14ac:dyDescent="0.25">
      <c r="A384" t="s">
        <v>2284</v>
      </c>
      <c r="B384" t="s">
        <v>91</v>
      </c>
      <c r="C384" t="s">
        <v>1305</v>
      </c>
      <c r="D384" t="s">
        <v>1306</v>
      </c>
      <c r="E384" t="s">
        <v>1304</v>
      </c>
      <c r="F384" t="s">
        <v>1599</v>
      </c>
      <c r="G384" t="s">
        <v>1600</v>
      </c>
      <c r="H384" t="s">
        <v>1788</v>
      </c>
      <c r="I384" t="s">
        <v>1789</v>
      </c>
    </row>
    <row r="385" spans="1:9" x14ac:dyDescent="0.25">
      <c r="A385" t="s">
        <v>2285</v>
      </c>
      <c r="B385" t="s">
        <v>91</v>
      </c>
      <c r="C385" t="s">
        <v>487</v>
      </c>
      <c r="D385" t="s">
        <v>2286</v>
      </c>
      <c r="E385" t="s">
        <v>1036</v>
      </c>
      <c r="F385" t="s">
        <v>1425</v>
      </c>
      <c r="G385" t="s">
        <v>1426</v>
      </c>
      <c r="H385" t="s">
        <v>1697</v>
      </c>
      <c r="I385" t="s">
        <v>1698</v>
      </c>
    </row>
    <row r="386" spans="1:9" x14ac:dyDescent="0.25">
      <c r="A386" t="s">
        <v>2287</v>
      </c>
      <c r="B386" t="s">
        <v>91</v>
      </c>
      <c r="C386" t="s">
        <v>503</v>
      </c>
      <c r="D386" t="s">
        <v>504</v>
      </c>
      <c r="E386" t="s">
        <v>869</v>
      </c>
      <c r="F386" t="s">
        <v>1725</v>
      </c>
      <c r="G386" t="s">
        <v>1726</v>
      </c>
      <c r="H386" t="s">
        <v>2288</v>
      </c>
      <c r="I386" t="s">
        <v>2289</v>
      </c>
    </row>
    <row r="387" spans="1:9" x14ac:dyDescent="0.25">
      <c r="A387" t="s">
        <v>2290</v>
      </c>
      <c r="B387" t="s">
        <v>91</v>
      </c>
      <c r="C387" t="s">
        <v>318</v>
      </c>
      <c r="D387" t="s">
        <v>2291</v>
      </c>
      <c r="E387" t="s">
        <v>849</v>
      </c>
      <c r="F387" t="s">
        <v>1750</v>
      </c>
      <c r="G387" t="s">
        <v>1751</v>
      </c>
      <c r="H387" t="s">
        <v>1752</v>
      </c>
      <c r="I387" t="s">
        <v>1753</v>
      </c>
    </row>
    <row r="388" spans="1:9" x14ac:dyDescent="0.25">
      <c r="A388" t="s">
        <v>2292</v>
      </c>
      <c r="B388" t="s">
        <v>91</v>
      </c>
      <c r="C388" t="s">
        <v>367</v>
      </c>
      <c r="D388" t="s">
        <v>2293</v>
      </c>
      <c r="E388" t="s">
        <v>553</v>
      </c>
      <c r="F388" t="s">
        <v>1445</v>
      </c>
      <c r="G388" t="s">
        <v>1446</v>
      </c>
      <c r="H388" t="s">
        <v>2079</v>
      </c>
      <c r="I388" t="s">
        <v>2080</v>
      </c>
    </row>
    <row r="389" spans="1:9" x14ac:dyDescent="0.25">
      <c r="A389" t="s">
        <v>2294</v>
      </c>
      <c r="B389" t="s">
        <v>91</v>
      </c>
      <c r="C389" t="s">
        <v>974</v>
      </c>
      <c r="D389" t="s">
        <v>2295</v>
      </c>
      <c r="E389" t="s">
        <v>973</v>
      </c>
      <c r="F389" t="s">
        <v>1594</v>
      </c>
      <c r="G389" t="s">
        <v>1595</v>
      </c>
      <c r="H389" t="s">
        <v>1596</v>
      </c>
      <c r="I389" t="s">
        <v>1597</v>
      </c>
    </row>
    <row r="390" spans="1:9" x14ac:dyDescent="0.25">
      <c r="A390" t="s">
        <v>2296</v>
      </c>
      <c r="B390" t="s">
        <v>91</v>
      </c>
      <c r="C390" t="s">
        <v>163</v>
      </c>
      <c r="D390" t="s">
        <v>2297</v>
      </c>
      <c r="E390" t="s">
        <v>560</v>
      </c>
      <c r="F390" t="s">
        <v>1353</v>
      </c>
      <c r="G390" t="s">
        <v>1354</v>
      </c>
      <c r="H390" t="s">
        <v>1540</v>
      </c>
      <c r="I390" t="s">
        <v>1541</v>
      </c>
    </row>
    <row r="391" spans="1:9" x14ac:dyDescent="0.25">
      <c r="A391" t="s">
        <v>2298</v>
      </c>
      <c r="B391" t="s">
        <v>91</v>
      </c>
      <c r="C391" t="s">
        <v>1061</v>
      </c>
      <c r="D391" t="s">
        <v>2299</v>
      </c>
      <c r="E391" t="s">
        <v>1060</v>
      </c>
      <c r="F391" t="s">
        <v>1414</v>
      </c>
      <c r="G391" t="s">
        <v>1415</v>
      </c>
      <c r="H391" t="s">
        <v>2300</v>
      </c>
      <c r="I391" t="s">
        <v>2301</v>
      </c>
    </row>
    <row r="392" spans="1:9" x14ac:dyDescent="0.25">
      <c r="A392" t="s">
        <v>2302</v>
      </c>
      <c r="B392" t="s">
        <v>91</v>
      </c>
      <c r="C392" t="s">
        <v>1012</v>
      </c>
      <c r="D392" t="s">
        <v>1013</v>
      </c>
      <c r="E392" t="s">
        <v>1011</v>
      </c>
      <c r="F392" t="s">
        <v>2303</v>
      </c>
      <c r="G392" t="s">
        <v>2304</v>
      </c>
      <c r="H392" t="s">
        <v>2305</v>
      </c>
      <c r="I392" t="s">
        <v>2306</v>
      </c>
    </row>
    <row r="393" spans="1:9" x14ac:dyDescent="0.25">
      <c r="A393" t="s">
        <v>2307</v>
      </c>
      <c r="B393" t="s">
        <v>91</v>
      </c>
      <c r="C393" t="s">
        <v>131</v>
      </c>
      <c r="D393" t="s">
        <v>2308</v>
      </c>
      <c r="E393" t="s">
        <v>645</v>
      </c>
      <c r="F393" t="s">
        <v>1606</v>
      </c>
      <c r="G393" t="s">
        <v>1607</v>
      </c>
      <c r="H393" t="s">
        <v>1862</v>
      </c>
      <c r="I393" t="s">
        <v>1863</v>
      </c>
    </row>
    <row r="394" spans="1:9" x14ac:dyDescent="0.25">
      <c r="A394" t="s">
        <v>2309</v>
      </c>
      <c r="B394" t="s">
        <v>91</v>
      </c>
      <c r="C394" t="s">
        <v>376</v>
      </c>
      <c r="D394" t="s">
        <v>378</v>
      </c>
      <c r="E394" t="s">
        <v>586</v>
      </c>
      <c r="F394" t="s">
        <v>1725</v>
      </c>
      <c r="G394" t="s">
        <v>1726</v>
      </c>
      <c r="H394" t="s">
        <v>1727</v>
      </c>
      <c r="I394" t="s">
        <v>1728</v>
      </c>
    </row>
    <row r="395" spans="1:9" x14ac:dyDescent="0.25">
      <c r="A395" t="s">
        <v>2310</v>
      </c>
      <c r="B395" t="s">
        <v>91</v>
      </c>
      <c r="C395" t="s">
        <v>696</v>
      </c>
      <c r="D395" t="s">
        <v>2311</v>
      </c>
      <c r="E395" t="s">
        <v>695</v>
      </c>
      <c r="F395" t="s">
        <v>2161</v>
      </c>
      <c r="G395" t="s">
        <v>2162</v>
      </c>
      <c r="H395" t="s">
        <v>2163</v>
      </c>
      <c r="I395" t="s">
        <v>2164</v>
      </c>
    </row>
    <row r="396" spans="1:9" x14ac:dyDescent="0.25">
      <c r="A396" t="s">
        <v>2312</v>
      </c>
      <c r="B396" t="s">
        <v>91</v>
      </c>
      <c r="C396" t="s">
        <v>367</v>
      </c>
      <c r="D396" t="s">
        <v>2313</v>
      </c>
      <c r="E396" t="s">
        <v>553</v>
      </c>
      <c r="F396" t="s">
        <v>1445</v>
      </c>
      <c r="G396" t="s">
        <v>1446</v>
      </c>
      <c r="H396" t="s">
        <v>1447</v>
      </c>
      <c r="I396" t="s">
        <v>1448</v>
      </c>
    </row>
    <row r="397" spans="1:9" x14ac:dyDescent="0.25">
      <c r="A397" t="s">
        <v>2314</v>
      </c>
      <c r="B397" t="s">
        <v>91</v>
      </c>
      <c r="C397" t="s">
        <v>163</v>
      </c>
      <c r="D397" t="s">
        <v>2315</v>
      </c>
      <c r="E397" t="s">
        <v>560</v>
      </c>
      <c r="F397" t="s">
        <v>1353</v>
      </c>
      <c r="G397" t="s">
        <v>1354</v>
      </c>
      <c r="H397" t="s">
        <v>1502</v>
      </c>
      <c r="I397" t="s">
        <v>1503</v>
      </c>
    </row>
    <row r="398" spans="1:9" x14ac:dyDescent="0.25">
      <c r="A398" t="s">
        <v>2316</v>
      </c>
      <c r="B398" t="s">
        <v>91</v>
      </c>
      <c r="C398" t="s">
        <v>994</v>
      </c>
      <c r="D398" t="s">
        <v>995</v>
      </c>
      <c r="E398" t="s">
        <v>993</v>
      </c>
      <c r="F398" t="s">
        <v>2049</v>
      </c>
      <c r="G398" t="s">
        <v>2050</v>
      </c>
      <c r="H398" t="s">
        <v>2317</v>
      </c>
      <c r="I398" t="s">
        <v>2318</v>
      </c>
    </row>
    <row r="399" spans="1:9" x14ac:dyDescent="0.25">
      <c r="A399" t="s">
        <v>2319</v>
      </c>
      <c r="B399" t="s">
        <v>91</v>
      </c>
      <c r="C399" t="s">
        <v>312</v>
      </c>
      <c r="D399" t="s">
        <v>314</v>
      </c>
      <c r="E399" t="s">
        <v>573</v>
      </c>
      <c r="F399" t="s">
        <v>1731</v>
      </c>
      <c r="G399" t="s">
        <v>1732</v>
      </c>
      <c r="H399" t="s">
        <v>2320</v>
      </c>
      <c r="I399" t="s">
        <v>2321</v>
      </c>
    </row>
    <row r="400" spans="1:9" x14ac:dyDescent="0.25">
      <c r="A400" t="s">
        <v>2322</v>
      </c>
      <c r="B400" t="s">
        <v>91</v>
      </c>
      <c r="C400" t="s">
        <v>487</v>
      </c>
      <c r="D400" t="s">
        <v>2323</v>
      </c>
      <c r="E400" t="s">
        <v>1036</v>
      </c>
      <c r="F400" t="s">
        <v>1425</v>
      </c>
      <c r="G400" t="s">
        <v>1426</v>
      </c>
      <c r="H400" t="s">
        <v>1697</v>
      </c>
      <c r="I400" t="s">
        <v>1698</v>
      </c>
    </row>
    <row r="401" spans="1:9" x14ac:dyDescent="0.25">
      <c r="A401" t="s">
        <v>2324</v>
      </c>
      <c r="B401" t="s">
        <v>91</v>
      </c>
      <c r="C401" t="s">
        <v>920</v>
      </c>
      <c r="D401" t="s">
        <v>2325</v>
      </c>
      <c r="E401" t="s">
        <v>919</v>
      </c>
      <c r="F401" t="s">
        <v>1425</v>
      </c>
      <c r="G401" t="s">
        <v>1426</v>
      </c>
      <c r="H401" t="s">
        <v>1427</v>
      </c>
      <c r="I401" t="s">
        <v>1428</v>
      </c>
    </row>
    <row r="402" spans="1:9" x14ac:dyDescent="0.25">
      <c r="A402" t="s">
        <v>2326</v>
      </c>
      <c r="B402" t="s">
        <v>91</v>
      </c>
      <c r="C402" t="s">
        <v>1051</v>
      </c>
      <c r="D402" t="s">
        <v>2327</v>
      </c>
      <c r="E402" t="s">
        <v>1050</v>
      </c>
      <c r="F402" t="s">
        <v>1761</v>
      </c>
      <c r="G402" t="s">
        <v>1762</v>
      </c>
      <c r="H402" t="s">
        <v>1763</v>
      </c>
      <c r="I402" t="s">
        <v>1764</v>
      </c>
    </row>
    <row r="403" spans="1:9" x14ac:dyDescent="0.25">
      <c r="A403" t="s">
        <v>2328</v>
      </c>
      <c r="B403" t="s">
        <v>91</v>
      </c>
      <c r="C403" t="s">
        <v>163</v>
      </c>
      <c r="D403" t="s">
        <v>2329</v>
      </c>
      <c r="E403" t="s">
        <v>560</v>
      </c>
      <c r="F403" t="s">
        <v>1353</v>
      </c>
      <c r="G403" t="s">
        <v>1354</v>
      </c>
      <c r="H403" t="s">
        <v>1355</v>
      </c>
      <c r="I403" t="s">
        <v>1356</v>
      </c>
    </row>
    <row r="404" spans="1:9" x14ac:dyDescent="0.25">
      <c r="A404" t="s">
        <v>2330</v>
      </c>
      <c r="B404" t="s">
        <v>91</v>
      </c>
      <c r="C404" t="s">
        <v>414</v>
      </c>
      <c r="D404" t="s">
        <v>2331</v>
      </c>
      <c r="E404" t="s">
        <v>1086</v>
      </c>
      <c r="F404" t="s">
        <v>2039</v>
      </c>
      <c r="G404" t="s">
        <v>2040</v>
      </c>
      <c r="H404" t="s">
        <v>2332</v>
      </c>
      <c r="I404" t="s">
        <v>2333</v>
      </c>
    </row>
    <row r="405" spans="1:9" x14ac:dyDescent="0.25">
      <c r="A405" t="s">
        <v>2334</v>
      </c>
      <c r="B405" t="s">
        <v>91</v>
      </c>
      <c r="C405" t="s">
        <v>126</v>
      </c>
      <c r="D405" t="s">
        <v>179</v>
      </c>
      <c r="E405" t="s">
        <v>590</v>
      </c>
      <c r="F405" t="s">
        <v>1738</v>
      </c>
      <c r="G405" t="s">
        <v>1739</v>
      </c>
      <c r="H405" t="s">
        <v>1740</v>
      </c>
      <c r="I405" t="s">
        <v>1741</v>
      </c>
    </row>
    <row r="406" spans="1:9" x14ac:dyDescent="0.25">
      <c r="A406" t="s">
        <v>2335</v>
      </c>
      <c r="B406" t="s">
        <v>91</v>
      </c>
      <c r="C406" t="s">
        <v>487</v>
      </c>
      <c r="D406" t="s">
        <v>1037</v>
      </c>
      <c r="E406" t="s">
        <v>1036</v>
      </c>
      <c r="F406" t="s">
        <v>1425</v>
      </c>
      <c r="G406" t="s">
        <v>1426</v>
      </c>
      <c r="H406" t="s">
        <v>1697</v>
      </c>
      <c r="I406" t="s">
        <v>1698</v>
      </c>
    </row>
    <row r="407" spans="1:9" x14ac:dyDescent="0.25">
      <c r="A407" t="s">
        <v>2336</v>
      </c>
      <c r="B407" t="s">
        <v>91</v>
      </c>
      <c r="C407" t="s">
        <v>306</v>
      </c>
      <c r="D407" t="s">
        <v>307</v>
      </c>
      <c r="E407" t="s">
        <v>794</v>
      </c>
      <c r="F407" t="s">
        <v>1477</v>
      </c>
      <c r="G407" t="s">
        <v>1478</v>
      </c>
      <c r="H407" t="s">
        <v>1479</v>
      </c>
      <c r="I407" t="s">
        <v>1480</v>
      </c>
    </row>
    <row r="408" spans="1:9" x14ac:dyDescent="0.25">
      <c r="A408" t="s">
        <v>2337</v>
      </c>
      <c r="B408" t="s">
        <v>91</v>
      </c>
      <c r="C408" t="s">
        <v>175</v>
      </c>
      <c r="D408" t="s">
        <v>176</v>
      </c>
      <c r="E408" t="s">
        <v>729</v>
      </c>
      <c r="F408" t="s">
        <v>1450</v>
      </c>
      <c r="G408" t="s">
        <v>1451</v>
      </c>
      <c r="H408" t="s">
        <v>1622</v>
      </c>
      <c r="I408" t="s">
        <v>1437</v>
      </c>
    </row>
    <row r="409" spans="1:9" x14ac:dyDescent="0.25">
      <c r="A409" t="s">
        <v>2338</v>
      </c>
      <c r="B409" t="s">
        <v>91</v>
      </c>
      <c r="C409" t="s">
        <v>487</v>
      </c>
      <c r="D409" t="s">
        <v>2339</v>
      </c>
      <c r="E409" t="s">
        <v>1036</v>
      </c>
      <c r="F409" t="s">
        <v>1425</v>
      </c>
      <c r="G409" t="s">
        <v>1426</v>
      </c>
      <c r="H409" t="s">
        <v>1697</v>
      </c>
      <c r="I409" t="s">
        <v>1698</v>
      </c>
    </row>
    <row r="410" spans="1:9" x14ac:dyDescent="0.25">
      <c r="A410" t="s">
        <v>2340</v>
      </c>
      <c r="B410" t="s">
        <v>91</v>
      </c>
      <c r="C410" t="s">
        <v>1149</v>
      </c>
      <c r="D410" t="s">
        <v>2341</v>
      </c>
      <c r="E410" t="s">
        <v>1148</v>
      </c>
      <c r="F410" t="s">
        <v>1406</v>
      </c>
      <c r="G410" t="s">
        <v>1407</v>
      </c>
      <c r="H410" t="s">
        <v>1408</v>
      </c>
      <c r="I410" t="s">
        <v>1409</v>
      </c>
    </row>
    <row r="411" spans="1:9" x14ac:dyDescent="0.25">
      <c r="A411" t="s">
        <v>2342</v>
      </c>
      <c r="B411" t="s">
        <v>91</v>
      </c>
      <c r="C411" t="s">
        <v>163</v>
      </c>
      <c r="D411" t="s">
        <v>2343</v>
      </c>
      <c r="E411" t="s">
        <v>560</v>
      </c>
      <c r="F411" t="s">
        <v>1353</v>
      </c>
      <c r="G411" t="s">
        <v>1354</v>
      </c>
      <c r="H411" t="s">
        <v>2344</v>
      </c>
      <c r="I411" t="s">
        <v>2345</v>
      </c>
    </row>
    <row r="412" spans="1:9" x14ac:dyDescent="0.25">
      <c r="A412" t="s">
        <v>2346</v>
      </c>
      <c r="B412" t="s">
        <v>91</v>
      </c>
      <c r="C412" t="s">
        <v>402</v>
      </c>
      <c r="D412" t="s">
        <v>403</v>
      </c>
      <c r="E412" t="s">
        <v>705</v>
      </c>
      <c r="F412" t="s">
        <v>1400</v>
      </c>
      <c r="G412" t="s">
        <v>1401</v>
      </c>
      <c r="H412" t="s">
        <v>2347</v>
      </c>
      <c r="I412" t="s">
        <v>2348</v>
      </c>
    </row>
    <row r="413" spans="1:9" x14ac:dyDescent="0.25">
      <c r="A413" t="s">
        <v>2349</v>
      </c>
      <c r="B413" t="s">
        <v>91</v>
      </c>
      <c r="C413" t="s">
        <v>261</v>
      </c>
      <c r="D413" t="s">
        <v>947</v>
      </c>
      <c r="E413" t="s">
        <v>946</v>
      </c>
      <c r="F413" t="s">
        <v>1489</v>
      </c>
      <c r="G413" t="s">
        <v>1490</v>
      </c>
      <c r="H413" t="s">
        <v>1935</v>
      </c>
      <c r="I413" t="s">
        <v>1936</v>
      </c>
    </row>
    <row r="414" spans="1:9" x14ac:dyDescent="0.25">
      <c r="A414" t="s">
        <v>2350</v>
      </c>
      <c r="B414" t="s">
        <v>91</v>
      </c>
      <c r="C414" t="s">
        <v>421</v>
      </c>
      <c r="D414" t="s">
        <v>422</v>
      </c>
      <c r="E414" t="s">
        <v>1083</v>
      </c>
      <c r="F414" t="s">
        <v>1385</v>
      </c>
      <c r="G414" t="s">
        <v>1386</v>
      </c>
      <c r="H414" t="s">
        <v>1387</v>
      </c>
      <c r="I414" t="s">
        <v>1388</v>
      </c>
    </row>
    <row r="415" spans="1:9" x14ac:dyDescent="0.25">
      <c r="A415" t="s">
        <v>2351</v>
      </c>
      <c r="B415" t="s">
        <v>91</v>
      </c>
      <c r="C415" t="s">
        <v>210</v>
      </c>
      <c r="D415" t="s">
        <v>2352</v>
      </c>
      <c r="E415" t="s">
        <v>577</v>
      </c>
      <c r="F415" t="s">
        <v>2049</v>
      </c>
      <c r="G415" t="s">
        <v>2050</v>
      </c>
      <c r="H415" t="s">
        <v>2051</v>
      </c>
      <c r="I415" t="s">
        <v>1535</v>
      </c>
    </row>
    <row r="416" spans="1:9" x14ac:dyDescent="0.25">
      <c r="A416" t="s">
        <v>2353</v>
      </c>
      <c r="B416" t="s">
        <v>91</v>
      </c>
      <c r="C416" t="s">
        <v>116</v>
      </c>
      <c r="D416" t="s">
        <v>117</v>
      </c>
      <c r="E416" t="s">
        <v>648</v>
      </c>
      <c r="F416" t="s">
        <v>2049</v>
      </c>
      <c r="G416" t="s">
        <v>2050</v>
      </c>
      <c r="H416" t="s">
        <v>2354</v>
      </c>
      <c r="I416" t="s">
        <v>2355</v>
      </c>
    </row>
    <row r="417" spans="1:9" x14ac:dyDescent="0.25">
      <c r="A417" t="s">
        <v>2356</v>
      </c>
      <c r="B417" t="s">
        <v>91</v>
      </c>
      <c r="C417" t="s">
        <v>163</v>
      </c>
      <c r="D417" t="s">
        <v>2357</v>
      </c>
      <c r="E417" t="s">
        <v>560</v>
      </c>
      <c r="F417" t="s">
        <v>1353</v>
      </c>
      <c r="G417" t="s">
        <v>1354</v>
      </c>
      <c r="H417" t="s">
        <v>1355</v>
      </c>
      <c r="I417" t="s">
        <v>1356</v>
      </c>
    </row>
    <row r="418" spans="1:9" x14ac:dyDescent="0.25">
      <c r="A418" t="s">
        <v>2358</v>
      </c>
      <c r="B418" t="s">
        <v>91</v>
      </c>
      <c r="C418" t="s">
        <v>131</v>
      </c>
      <c r="D418" t="s">
        <v>1319</v>
      </c>
      <c r="E418" t="s">
        <v>645</v>
      </c>
      <c r="F418" t="s">
        <v>1606</v>
      </c>
      <c r="G418" t="s">
        <v>1607</v>
      </c>
      <c r="H418" t="s">
        <v>1608</v>
      </c>
      <c r="I418" t="s">
        <v>1609</v>
      </c>
    </row>
    <row r="419" spans="1:9" x14ac:dyDescent="0.25">
      <c r="A419" t="s">
        <v>2358</v>
      </c>
      <c r="B419" t="s">
        <v>91</v>
      </c>
      <c r="C419" t="s">
        <v>1318</v>
      </c>
      <c r="D419" t="s">
        <v>1319</v>
      </c>
      <c r="E419" t="s">
        <v>1317</v>
      </c>
      <c r="F419" t="s">
        <v>1606</v>
      </c>
      <c r="G419" t="s">
        <v>1607</v>
      </c>
      <c r="H419" t="s">
        <v>1608</v>
      </c>
      <c r="I419" t="s">
        <v>1609</v>
      </c>
    </row>
    <row r="420" spans="1:9" x14ac:dyDescent="0.25">
      <c r="A420" t="s">
        <v>2359</v>
      </c>
      <c r="B420" t="s">
        <v>91</v>
      </c>
      <c r="C420" t="s">
        <v>376</v>
      </c>
      <c r="D420" t="s">
        <v>440</v>
      </c>
      <c r="E420" t="s">
        <v>586</v>
      </c>
      <c r="F420" t="s">
        <v>1725</v>
      </c>
      <c r="G420" t="s">
        <v>1726</v>
      </c>
      <c r="H420" t="s">
        <v>1727</v>
      </c>
      <c r="I420" t="s">
        <v>1728</v>
      </c>
    </row>
    <row r="421" spans="1:9" x14ac:dyDescent="0.25">
      <c r="A421" t="s">
        <v>2360</v>
      </c>
      <c r="B421" t="s">
        <v>91</v>
      </c>
      <c r="C421" t="s">
        <v>210</v>
      </c>
      <c r="D421" t="s">
        <v>212</v>
      </c>
      <c r="E421" t="s">
        <v>577</v>
      </c>
      <c r="F421" t="s">
        <v>2049</v>
      </c>
      <c r="G421" t="s">
        <v>2050</v>
      </c>
      <c r="H421" t="s">
        <v>2051</v>
      </c>
      <c r="I421" t="s">
        <v>1535</v>
      </c>
    </row>
    <row r="422" spans="1:9" x14ac:dyDescent="0.25">
      <c r="A422" t="s">
        <v>2361</v>
      </c>
      <c r="B422" t="s">
        <v>91</v>
      </c>
      <c r="C422" t="s">
        <v>348</v>
      </c>
      <c r="D422" t="s">
        <v>2362</v>
      </c>
      <c r="E422" t="s">
        <v>619</v>
      </c>
    </row>
    <row r="423" spans="1:9" x14ac:dyDescent="0.25">
      <c r="A423" t="s">
        <v>2363</v>
      </c>
      <c r="B423" t="s">
        <v>91</v>
      </c>
      <c r="C423" t="s">
        <v>168</v>
      </c>
      <c r="D423" t="s">
        <v>169</v>
      </c>
      <c r="E423" t="s">
        <v>544</v>
      </c>
      <c r="F423" t="s">
        <v>1461</v>
      </c>
      <c r="G423" t="s">
        <v>1462</v>
      </c>
      <c r="H423" t="s">
        <v>1554</v>
      </c>
      <c r="I423" t="s">
        <v>1555</v>
      </c>
    </row>
    <row r="424" spans="1:9" x14ac:dyDescent="0.25">
      <c r="A424" t="s">
        <v>2364</v>
      </c>
      <c r="B424" t="s">
        <v>91</v>
      </c>
      <c r="C424" t="s">
        <v>200</v>
      </c>
      <c r="D424" t="s">
        <v>2365</v>
      </c>
      <c r="E424" t="s">
        <v>757</v>
      </c>
      <c r="F424" t="s">
        <v>1406</v>
      </c>
      <c r="G424" t="s">
        <v>1407</v>
      </c>
      <c r="H424" t="s">
        <v>1411</v>
      </c>
      <c r="I424" t="s">
        <v>1412</v>
      </c>
    </row>
    <row r="425" spans="1:9" x14ac:dyDescent="0.25">
      <c r="A425" t="s">
        <v>2366</v>
      </c>
      <c r="B425" t="s">
        <v>91</v>
      </c>
      <c r="C425" t="s">
        <v>163</v>
      </c>
      <c r="D425" t="s">
        <v>2367</v>
      </c>
      <c r="E425" t="s">
        <v>560</v>
      </c>
      <c r="F425" t="s">
        <v>1353</v>
      </c>
      <c r="G425" t="s">
        <v>1354</v>
      </c>
      <c r="H425" t="s">
        <v>1381</v>
      </c>
      <c r="I425" t="s">
        <v>1382</v>
      </c>
    </row>
    <row r="426" spans="1:9" x14ac:dyDescent="0.25">
      <c r="A426" t="s">
        <v>2368</v>
      </c>
      <c r="B426" t="s">
        <v>91</v>
      </c>
      <c r="C426" t="s">
        <v>122</v>
      </c>
      <c r="D426" t="s">
        <v>459</v>
      </c>
      <c r="E426" t="s">
        <v>537</v>
      </c>
      <c r="F426" t="s">
        <v>1450</v>
      </c>
      <c r="G426" t="s">
        <v>1451</v>
      </c>
      <c r="H426" t="s">
        <v>1452</v>
      </c>
      <c r="I426" t="s">
        <v>1453</v>
      </c>
    </row>
    <row r="427" spans="1:9" x14ac:dyDescent="0.25">
      <c r="A427" t="s">
        <v>2369</v>
      </c>
      <c r="B427" t="s">
        <v>91</v>
      </c>
      <c r="C427" t="s">
        <v>942</v>
      </c>
      <c r="D427" t="s">
        <v>2370</v>
      </c>
      <c r="E427" t="s">
        <v>941</v>
      </c>
      <c r="F427" t="s">
        <v>1761</v>
      </c>
      <c r="G427" t="s">
        <v>1762</v>
      </c>
      <c r="H427" t="s">
        <v>2371</v>
      </c>
      <c r="I427" t="s">
        <v>2372</v>
      </c>
    </row>
    <row r="428" spans="1:9" x14ac:dyDescent="0.25">
      <c r="A428" t="s">
        <v>2373</v>
      </c>
      <c r="B428" t="s">
        <v>91</v>
      </c>
      <c r="C428" t="s">
        <v>131</v>
      </c>
      <c r="D428" t="s">
        <v>132</v>
      </c>
      <c r="E428" t="s">
        <v>645</v>
      </c>
      <c r="F428" t="s">
        <v>1606</v>
      </c>
      <c r="G428" t="s">
        <v>1607</v>
      </c>
      <c r="H428" t="s">
        <v>1608</v>
      </c>
      <c r="I428" t="s">
        <v>1609</v>
      </c>
    </row>
    <row r="429" spans="1:9" x14ac:dyDescent="0.25">
      <c r="A429" t="s">
        <v>2374</v>
      </c>
      <c r="B429" t="s">
        <v>91</v>
      </c>
      <c r="C429" t="s">
        <v>316</v>
      </c>
      <c r="D429" t="s">
        <v>317</v>
      </c>
      <c r="E429" t="s">
        <v>1228</v>
      </c>
      <c r="F429" t="s">
        <v>1450</v>
      </c>
      <c r="G429" t="s">
        <v>1451</v>
      </c>
      <c r="H429" t="s">
        <v>1622</v>
      </c>
      <c r="I429" t="s">
        <v>1437</v>
      </c>
    </row>
    <row r="430" spans="1:9" x14ac:dyDescent="0.25">
      <c r="A430" t="s">
        <v>2375</v>
      </c>
      <c r="B430" t="s">
        <v>91</v>
      </c>
      <c r="C430" t="s">
        <v>1004</v>
      </c>
      <c r="D430" t="s">
        <v>2376</v>
      </c>
      <c r="E430" t="s">
        <v>1003</v>
      </c>
      <c r="F430" t="s">
        <v>1506</v>
      </c>
      <c r="G430" t="s">
        <v>1507</v>
      </c>
      <c r="H430" t="s">
        <v>1508</v>
      </c>
      <c r="I430" t="s">
        <v>1509</v>
      </c>
    </row>
    <row r="431" spans="1:9" x14ac:dyDescent="0.25">
      <c r="A431" t="s">
        <v>2377</v>
      </c>
      <c r="B431" t="s">
        <v>91</v>
      </c>
      <c r="C431" t="s">
        <v>1328</v>
      </c>
      <c r="D431" t="s">
        <v>1329</v>
      </c>
      <c r="E431" t="s">
        <v>1327</v>
      </c>
      <c r="F431" t="s">
        <v>2020</v>
      </c>
      <c r="G431" t="s">
        <v>2021</v>
      </c>
      <c r="H431" t="s">
        <v>2022</v>
      </c>
      <c r="I431" t="s">
        <v>2023</v>
      </c>
    </row>
    <row r="432" spans="1:9" x14ac:dyDescent="0.25">
      <c r="A432" t="s">
        <v>2378</v>
      </c>
      <c r="B432" t="s">
        <v>91</v>
      </c>
      <c r="C432" t="s">
        <v>516</v>
      </c>
      <c r="D432" t="s">
        <v>517</v>
      </c>
      <c r="E432" t="s">
        <v>1275</v>
      </c>
      <c r="F432" t="s">
        <v>2071</v>
      </c>
      <c r="G432" t="s">
        <v>2072</v>
      </c>
      <c r="H432" t="s">
        <v>2073</v>
      </c>
      <c r="I432" t="s">
        <v>2074</v>
      </c>
    </row>
    <row r="433" spans="1:9" x14ac:dyDescent="0.25">
      <c r="A433" t="s">
        <v>2379</v>
      </c>
      <c r="B433" t="s">
        <v>91</v>
      </c>
      <c r="C433" t="s">
        <v>1171</v>
      </c>
      <c r="D433" t="s">
        <v>2380</v>
      </c>
      <c r="E433" t="s">
        <v>1170</v>
      </c>
      <c r="F433" t="s">
        <v>1987</v>
      </c>
      <c r="G433" t="s">
        <v>1988</v>
      </c>
      <c r="H433" t="s">
        <v>2245</v>
      </c>
      <c r="I433" t="s">
        <v>2246</v>
      </c>
    </row>
    <row r="434" spans="1:9" x14ac:dyDescent="0.25">
      <c r="A434" t="s">
        <v>2381</v>
      </c>
      <c r="B434" t="s">
        <v>91</v>
      </c>
      <c r="C434" t="s">
        <v>880</v>
      </c>
      <c r="D434" t="s">
        <v>2382</v>
      </c>
      <c r="E434" t="s">
        <v>879</v>
      </c>
      <c r="F434" t="s">
        <v>1599</v>
      </c>
      <c r="G434" t="s">
        <v>1600</v>
      </c>
      <c r="H434" t="s">
        <v>1788</v>
      </c>
      <c r="I434" t="s">
        <v>1789</v>
      </c>
    </row>
    <row r="435" spans="1:9" x14ac:dyDescent="0.25">
      <c r="A435" t="s">
        <v>2383</v>
      </c>
      <c r="B435" t="s">
        <v>91</v>
      </c>
      <c r="C435" t="s">
        <v>399</v>
      </c>
      <c r="D435" t="s">
        <v>2384</v>
      </c>
      <c r="E435" t="s">
        <v>637</v>
      </c>
      <c r="F435" t="s">
        <v>1445</v>
      </c>
      <c r="G435" t="s">
        <v>1446</v>
      </c>
      <c r="H435" t="s">
        <v>1949</v>
      </c>
      <c r="I435" t="s">
        <v>1950</v>
      </c>
    </row>
    <row r="436" spans="1:9" x14ac:dyDescent="0.25">
      <c r="A436" t="s">
        <v>2385</v>
      </c>
      <c r="B436" t="s">
        <v>91</v>
      </c>
      <c r="C436" t="s">
        <v>163</v>
      </c>
      <c r="D436" t="s">
        <v>2386</v>
      </c>
      <c r="E436" t="s">
        <v>560</v>
      </c>
      <c r="F436" t="s">
        <v>1353</v>
      </c>
      <c r="G436" t="s">
        <v>1354</v>
      </c>
      <c r="H436" t="s">
        <v>1558</v>
      </c>
      <c r="I436" t="s">
        <v>1559</v>
      </c>
    </row>
    <row r="437" spans="1:9" x14ac:dyDescent="0.25">
      <c r="A437" t="s">
        <v>2387</v>
      </c>
      <c r="B437" t="s">
        <v>91</v>
      </c>
      <c r="C437" t="s">
        <v>355</v>
      </c>
      <c r="D437" t="s">
        <v>2388</v>
      </c>
      <c r="E437" t="s">
        <v>668</v>
      </c>
      <c r="F437" t="s">
        <v>1494</v>
      </c>
      <c r="G437" t="s">
        <v>1495</v>
      </c>
      <c r="H437" t="s">
        <v>1496</v>
      </c>
      <c r="I437" t="s">
        <v>1497</v>
      </c>
    </row>
    <row r="438" spans="1:9" x14ac:dyDescent="0.25">
      <c r="A438" t="s">
        <v>2389</v>
      </c>
      <c r="B438" t="s">
        <v>91</v>
      </c>
      <c r="C438" t="s">
        <v>1201</v>
      </c>
      <c r="D438" t="s">
        <v>2390</v>
      </c>
      <c r="E438" t="s">
        <v>1200</v>
      </c>
      <c r="F438" t="s">
        <v>1689</v>
      </c>
      <c r="G438" t="s">
        <v>1690</v>
      </c>
      <c r="H438" t="s">
        <v>1691</v>
      </c>
      <c r="I438" t="s">
        <v>1692</v>
      </c>
    </row>
    <row r="439" spans="1:9" x14ac:dyDescent="0.25">
      <c r="A439" t="s">
        <v>2391</v>
      </c>
      <c r="B439" t="s">
        <v>91</v>
      </c>
      <c r="C439" t="s">
        <v>920</v>
      </c>
      <c r="D439" t="s">
        <v>2392</v>
      </c>
      <c r="E439" t="s">
        <v>919</v>
      </c>
      <c r="F439" t="s">
        <v>1425</v>
      </c>
      <c r="G439" t="s">
        <v>1426</v>
      </c>
      <c r="H439" t="s">
        <v>1427</v>
      </c>
      <c r="I439" t="s">
        <v>1428</v>
      </c>
    </row>
    <row r="440" spans="1:9" x14ac:dyDescent="0.25">
      <c r="A440" t="s">
        <v>2393</v>
      </c>
      <c r="B440" t="s">
        <v>91</v>
      </c>
      <c r="C440" t="s">
        <v>131</v>
      </c>
      <c r="D440" t="s">
        <v>2394</v>
      </c>
      <c r="E440" t="s">
        <v>645</v>
      </c>
      <c r="F440" t="s">
        <v>1606</v>
      </c>
      <c r="G440" t="s">
        <v>1607</v>
      </c>
      <c r="H440" t="s">
        <v>1862</v>
      </c>
      <c r="I440" t="s">
        <v>1863</v>
      </c>
    </row>
    <row r="441" spans="1:9" x14ac:dyDescent="0.25">
      <c r="A441" t="s">
        <v>2395</v>
      </c>
      <c r="B441" t="s">
        <v>91</v>
      </c>
      <c r="C441" t="s">
        <v>158</v>
      </c>
      <c r="D441" t="s">
        <v>801</v>
      </c>
      <c r="E441" t="s">
        <v>800</v>
      </c>
      <c r="F441" t="s">
        <v>1650</v>
      </c>
      <c r="G441" t="s">
        <v>1651</v>
      </c>
      <c r="H441" t="s">
        <v>1652</v>
      </c>
      <c r="I441" t="s">
        <v>1653</v>
      </c>
    </row>
    <row r="442" spans="1:9" x14ac:dyDescent="0.25">
      <c r="A442" t="s">
        <v>2396</v>
      </c>
      <c r="B442" t="s">
        <v>91</v>
      </c>
      <c r="C442" t="s">
        <v>312</v>
      </c>
      <c r="D442" t="s">
        <v>2397</v>
      </c>
      <c r="E442" t="s">
        <v>573</v>
      </c>
      <c r="F442" t="s">
        <v>1731</v>
      </c>
      <c r="G442" t="s">
        <v>1732</v>
      </c>
      <c r="H442" t="s">
        <v>1952</v>
      </c>
      <c r="I442" t="s">
        <v>1953</v>
      </c>
    </row>
    <row r="443" spans="1:9" x14ac:dyDescent="0.25">
      <c r="A443" t="s">
        <v>2398</v>
      </c>
      <c r="B443" t="s">
        <v>91</v>
      </c>
      <c r="C443" t="s">
        <v>974</v>
      </c>
      <c r="D443" t="s">
        <v>2399</v>
      </c>
      <c r="E443" t="s">
        <v>973</v>
      </c>
      <c r="F443" t="s">
        <v>1594</v>
      </c>
      <c r="G443" t="s">
        <v>1595</v>
      </c>
      <c r="H443" t="s">
        <v>1596</v>
      </c>
      <c r="I443" t="s">
        <v>1597</v>
      </c>
    </row>
    <row r="444" spans="1:9" x14ac:dyDescent="0.25">
      <c r="A444" t="s">
        <v>2400</v>
      </c>
      <c r="B444" t="s">
        <v>91</v>
      </c>
      <c r="C444" t="s">
        <v>99</v>
      </c>
      <c r="D444" t="s">
        <v>2401</v>
      </c>
      <c r="E444" t="s">
        <v>733</v>
      </c>
      <c r="F444" t="s">
        <v>1396</v>
      </c>
      <c r="G444" t="s">
        <v>1397</v>
      </c>
      <c r="H444" t="s">
        <v>1398</v>
      </c>
      <c r="I444" t="s">
        <v>1397</v>
      </c>
    </row>
    <row r="445" spans="1:9" x14ac:dyDescent="0.25">
      <c r="A445" t="s">
        <v>2402</v>
      </c>
      <c r="B445" t="s">
        <v>91</v>
      </c>
      <c r="C445" t="s">
        <v>1295</v>
      </c>
      <c r="D445" t="s">
        <v>1296</v>
      </c>
      <c r="E445" t="s">
        <v>1294</v>
      </c>
      <c r="F445" t="s">
        <v>1391</v>
      </c>
      <c r="G445" t="s">
        <v>1392</v>
      </c>
      <c r="H445" t="s">
        <v>1583</v>
      </c>
      <c r="I445" t="s">
        <v>1584</v>
      </c>
    </row>
    <row r="446" spans="1:9" x14ac:dyDescent="0.25">
      <c r="A446" t="s">
        <v>2403</v>
      </c>
      <c r="B446" t="s">
        <v>91</v>
      </c>
      <c r="C446" t="s">
        <v>373</v>
      </c>
      <c r="D446" t="s">
        <v>374</v>
      </c>
      <c r="E446" t="s">
        <v>783</v>
      </c>
      <c r="F446" t="s">
        <v>2404</v>
      </c>
      <c r="G446" t="s">
        <v>2405</v>
      </c>
      <c r="H446" t="s">
        <v>2406</v>
      </c>
      <c r="I446" t="s">
        <v>2407</v>
      </c>
    </row>
    <row r="447" spans="1:9" x14ac:dyDescent="0.25">
      <c r="A447" t="s">
        <v>2408</v>
      </c>
      <c r="B447" t="s">
        <v>91</v>
      </c>
      <c r="C447" t="s">
        <v>312</v>
      </c>
      <c r="D447" t="s">
        <v>2409</v>
      </c>
      <c r="E447" t="s">
        <v>573</v>
      </c>
      <c r="F447" t="s">
        <v>1731</v>
      </c>
      <c r="G447" t="s">
        <v>1732</v>
      </c>
      <c r="H447" t="s">
        <v>1952</v>
      </c>
      <c r="I447" t="s">
        <v>1953</v>
      </c>
    </row>
    <row r="448" spans="1:9" x14ac:dyDescent="0.25">
      <c r="A448" t="s">
        <v>2410</v>
      </c>
      <c r="B448" t="s">
        <v>91</v>
      </c>
      <c r="C448" t="s">
        <v>957</v>
      </c>
      <c r="D448" t="s">
        <v>958</v>
      </c>
      <c r="E448" t="s">
        <v>956</v>
      </c>
      <c r="F448" t="s">
        <v>1731</v>
      </c>
      <c r="G448" t="s">
        <v>1732</v>
      </c>
      <c r="H448" t="s">
        <v>1733</v>
      </c>
      <c r="I448" t="s">
        <v>1734</v>
      </c>
    </row>
    <row r="449" spans="1:9" x14ac:dyDescent="0.25">
      <c r="A449" t="s">
        <v>2411</v>
      </c>
      <c r="B449" t="s">
        <v>91</v>
      </c>
      <c r="C449" t="s">
        <v>163</v>
      </c>
      <c r="D449" t="s">
        <v>2412</v>
      </c>
      <c r="E449" t="s">
        <v>560</v>
      </c>
      <c r="F449" t="s">
        <v>1353</v>
      </c>
      <c r="G449" t="s">
        <v>1354</v>
      </c>
      <c r="H449" t="s">
        <v>1513</v>
      </c>
      <c r="I449" t="s">
        <v>1514</v>
      </c>
    </row>
    <row r="450" spans="1:9" x14ac:dyDescent="0.25">
      <c r="A450" t="s">
        <v>2413</v>
      </c>
      <c r="B450" t="s">
        <v>91</v>
      </c>
      <c r="C450" t="s">
        <v>282</v>
      </c>
      <c r="D450" t="s">
        <v>283</v>
      </c>
      <c r="E450" t="s">
        <v>1099</v>
      </c>
      <c r="F450" t="s">
        <v>1445</v>
      </c>
      <c r="G450" t="s">
        <v>1446</v>
      </c>
      <c r="H450" t="s">
        <v>1447</v>
      </c>
      <c r="I450" t="s">
        <v>1448</v>
      </c>
    </row>
    <row r="451" spans="1:9" x14ac:dyDescent="0.25">
      <c r="A451" t="s">
        <v>2414</v>
      </c>
      <c r="B451" t="s">
        <v>91</v>
      </c>
      <c r="C451" t="s">
        <v>472</v>
      </c>
      <c r="D451" t="s">
        <v>2415</v>
      </c>
      <c r="E451" t="s">
        <v>711</v>
      </c>
      <c r="F451" t="s">
        <v>1782</v>
      </c>
      <c r="G451" t="s">
        <v>1783</v>
      </c>
      <c r="H451" t="s">
        <v>1784</v>
      </c>
      <c r="I451" t="s">
        <v>1785</v>
      </c>
    </row>
    <row r="452" spans="1:9" x14ac:dyDescent="0.25">
      <c r="A452" t="s">
        <v>2416</v>
      </c>
      <c r="B452" t="s">
        <v>91</v>
      </c>
      <c r="C452" t="s">
        <v>421</v>
      </c>
      <c r="D452" t="s">
        <v>423</v>
      </c>
      <c r="E452" t="s">
        <v>1083</v>
      </c>
      <c r="F452" t="s">
        <v>1385</v>
      </c>
      <c r="G452" t="s">
        <v>1386</v>
      </c>
      <c r="H452" t="s">
        <v>1387</v>
      </c>
      <c r="I452" t="s">
        <v>1388</v>
      </c>
    </row>
    <row r="453" spans="1:9" x14ac:dyDescent="0.25">
      <c r="A453" t="s">
        <v>2417</v>
      </c>
      <c r="B453" t="s">
        <v>91</v>
      </c>
      <c r="C453" t="s">
        <v>900</v>
      </c>
      <c r="D453" t="s">
        <v>2418</v>
      </c>
      <c r="E453" t="s">
        <v>899</v>
      </c>
      <c r="F453" t="s">
        <v>1359</v>
      </c>
      <c r="G453" t="s">
        <v>1360</v>
      </c>
      <c r="H453" t="s">
        <v>1655</v>
      </c>
      <c r="I453" t="s">
        <v>1656</v>
      </c>
    </row>
    <row r="454" spans="1:9" x14ac:dyDescent="0.25">
      <c r="A454" t="s">
        <v>2419</v>
      </c>
      <c r="B454" t="s">
        <v>91</v>
      </c>
      <c r="C454" t="s">
        <v>312</v>
      </c>
      <c r="D454" t="s">
        <v>574</v>
      </c>
      <c r="E454" t="s">
        <v>573</v>
      </c>
      <c r="F454" t="s">
        <v>1731</v>
      </c>
      <c r="G454" t="s">
        <v>1732</v>
      </c>
      <c r="H454" t="s">
        <v>1952</v>
      </c>
      <c r="I454" t="s">
        <v>1953</v>
      </c>
    </row>
    <row r="455" spans="1:9" x14ac:dyDescent="0.25">
      <c r="A455" t="s">
        <v>2420</v>
      </c>
      <c r="B455" t="s">
        <v>91</v>
      </c>
      <c r="C455" t="s">
        <v>376</v>
      </c>
      <c r="D455" t="s">
        <v>489</v>
      </c>
      <c r="E455" t="s">
        <v>586</v>
      </c>
      <c r="F455" t="s">
        <v>1725</v>
      </c>
      <c r="G455" t="s">
        <v>1726</v>
      </c>
      <c r="H455" t="s">
        <v>1727</v>
      </c>
      <c r="I455" t="s">
        <v>1728</v>
      </c>
    </row>
    <row r="456" spans="1:9" x14ac:dyDescent="0.25">
      <c r="A456" t="s">
        <v>2421</v>
      </c>
      <c r="B456" t="s">
        <v>91</v>
      </c>
      <c r="C456" t="s">
        <v>492</v>
      </c>
      <c r="D456" t="s">
        <v>2422</v>
      </c>
      <c r="E456" t="s">
        <v>1108</v>
      </c>
      <c r="F456" t="s">
        <v>1837</v>
      </c>
      <c r="G456" t="s">
        <v>1838</v>
      </c>
      <c r="H456" t="s">
        <v>1839</v>
      </c>
      <c r="I456" t="s">
        <v>1840</v>
      </c>
    </row>
    <row r="457" spans="1:9" x14ac:dyDescent="0.25">
      <c r="A457" t="s">
        <v>2423</v>
      </c>
      <c r="B457" t="s">
        <v>91</v>
      </c>
      <c r="C457" t="s">
        <v>1266</v>
      </c>
      <c r="D457" t="s">
        <v>1267</v>
      </c>
      <c r="E457" t="s">
        <v>1265</v>
      </c>
      <c r="F457" t="s">
        <v>1707</v>
      </c>
      <c r="G457" t="s">
        <v>1708</v>
      </c>
      <c r="H457" t="s">
        <v>1709</v>
      </c>
      <c r="I457" t="s">
        <v>1710</v>
      </c>
    </row>
    <row r="458" spans="1:9" x14ac:dyDescent="0.25">
      <c r="A458" t="s">
        <v>2424</v>
      </c>
      <c r="B458" t="s">
        <v>91</v>
      </c>
      <c r="C458" t="s">
        <v>120</v>
      </c>
      <c r="D458" t="s">
        <v>2425</v>
      </c>
      <c r="E458" t="s">
        <v>726</v>
      </c>
      <c r="F458" t="s">
        <v>1782</v>
      </c>
      <c r="G458" t="s">
        <v>1783</v>
      </c>
      <c r="H458" t="s">
        <v>1784</v>
      </c>
      <c r="I458" t="s">
        <v>1785</v>
      </c>
    </row>
    <row r="459" spans="1:9" x14ac:dyDescent="0.25">
      <c r="A459" t="s">
        <v>2426</v>
      </c>
      <c r="B459" t="s">
        <v>91</v>
      </c>
      <c r="C459" t="s">
        <v>131</v>
      </c>
      <c r="D459" t="s">
        <v>311</v>
      </c>
      <c r="E459" t="s">
        <v>645</v>
      </c>
      <c r="F459" t="s">
        <v>1606</v>
      </c>
      <c r="G459" t="s">
        <v>1607</v>
      </c>
      <c r="H459" t="s">
        <v>1608</v>
      </c>
      <c r="I459" t="s">
        <v>1609</v>
      </c>
    </row>
    <row r="460" spans="1:9" x14ac:dyDescent="0.25">
      <c r="A460" t="s">
        <v>2427</v>
      </c>
      <c r="B460" t="s">
        <v>91</v>
      </c>
      <c r="C460" t="s">
        <v>230</v>
      </c>
      <c r="D460" t="s">
        <v>231</v>
      </c>
      <c r="E460" t="s">
        <v>861</v>
      </c>
      <c r="F460" t="s">
        <v>1782</v>
      </c>
      <c r="G460" t="s">
        <v>1783</v>
      </c>
      <c r="H460" t="s">
        <v>2204</v>
      </c>
      <c r="I460" t="s">
        <v>2205</v>
      </c>
    </row>
    <row r="461" spans="1:9" x14ac:dyDescent="0.25">
      <c r="A461" t="s">
        <v>2428</v>
      </c>
      <c r="B461" t="s">
        <v>91</v>
      </c>
      <c r="C461" t="s">
        <v>257</v>
      </c>
      <c r="D461" t="s">
        <v>258</v>
      </c>
      <c r="E461" t="s">
        <v>1309</v>
      </c>
      <c r="F461" t="s">
        <v>2429</v>
      </c>
      <c r="G461" t="s">
        <v>2430</v>
      </c>
      <c r="H461" t="s">
        <v>2431</v>
      </c>
      <c r="I461" t="s">
        <v>2432</v>
      </c>
    </row>
    <row r="462" spans="1:9" x14ac:dyDescent="0.25">
      <c r="A462" t="s">
        <v>2433</v>
      </c>
      <c r="B462" t="s">
        <v>91</v>
      </c>
      <c r="C462" t="s">
        <v>245</v>
      </c>
      <c r="D462" t="s">
        <v>1066</v>
      </c>
      <c r="E462" t="s">
        <v>1065</v>
      </c>
      <c r="F462" t="s">
        <v>1445</v>
      </c>
      <c r="G462" t="s">
        <v>1446</v>
      </c>
      <c r="H462" t="s">
        <v>1940</v>
      </c>
      <c r="I462" t="s">
        <v>1941</v>
      </c>
    </row>
    <row r="463" spans="1:9" x14ac:dyDescent="0.25">
      <c r="A463" t="s">
        <v>2434</v>
      </c>
      <c r="B463" t="s">
        <v>91</v>
      </c>
      <c r="C463" t="s">
        <v>245</v>
      </c>
      <c r="D463" t="s">
        <v>2435</v>
      </c>
      <c r="E463" t="s">
        <v>1065</v>
      </c>
      <c r="F463" t="s">
        <v>1445</v>
      </c>
      <c r="G463" t="s">
        <v>1446</v>
      </c>
      <c r="H463" t="s">
        <v>1940</v>
      </c>
      <c r="I463" t="s">
        <v>1941</v>
      </c>
    </row>
    <row r="464" spans="1:9" x14ac:dyDescent="0.25">
      <c r="A464" t="s">
        <v>2436</v>
      </c>
      <c r="B464" t="s">
        <v>91</v>
      </c>
      <c r="C464" t="s">
        <v>122</v>
      </c>
      <c r="D464" t="s">
        <v>466</v>
      </c>
      <c r="E464" t="s">
        <v>537</v>
      </c>
      <c r="F464" t="s">
        <v>1450</v>
      </c>
      <c r="G464" t="s">
        <v>1451</v>
      </c>
      <c r="H464" t="s">
        <v>1452</v>
      </c>
      <c r="I464" t="s">
        <v>1453</v>
      </c>
    </row>
    <row r="465" spans="1:9" x14ac:dyDescent="0.25">
      <c r="A465" t="s">
        <v>2437</v>
      </c>
      <c r="B465" t="s">
        <v>91</v>
      </c>
      <c r="C465" t="s">
        <v>131</v>
      </c>
      <c r="D465" t="s">
        <v>2438</v>
      </c>
      <c r="E465" t="s">
        <v>645</v>
      </c>
      <c r="F465" t="s">
        <v>1606</v>
      </c>
      <c r="G465" t="s">
        <v>1607</v>
      </c>
      <c r="H465" t="s">
        <v>1608</v>
      </c>
      <c r="I465" t="s">
        <v>1609</v>
      </c>
    </row>
    <row r="466" spans="1:9" x14ac:dyDescent="0.25">
      <c r="A466" t="s">
        <v>2439</v>
      </c>
      <c r="B466" t="s">
        <v>91</v>
      </c>
      <c r="C466" t="s">
        <v>122</v>
      </c>
      <c r="D466" t="s">
        <v>2440</v>
      </c>
      <c r="E466" t="s">
        <v>537</v>
      </c>
      <c r="F466" t="s">
        <v>1450</v>
      </c>
      <c r="G466" t="s">
        <v>1451</v>
      </c>
      <c r="H466" t="s">
        <v>1452</v>
      </c>
      <c r="I466" t="s">
        <v>1453</v>
      </c>
    </row>
    <row r="467" spans="1:9" x14ac:dyDescent="0.25">
      <c r="A467" t="s">
        <v>2441</v>
      </c>
      <c r="B467" t="s">
        <v>91</v>
      </c>
      <c r="C467" t="s">
        <v>1191</v>
      </c>
      <c r="D467" t="s">
        <v>1192</v>
      </c>
      <c r="E467" t="s">
        <v>1190</v>
      </c>
      <c r="F467" t="s">
        <v>2442</v>
      </c>
      <c r="G467" t="s">
        <v>2443</v>
      </c>
      <c r="H467" t="s">
        <v>2444</v>
      </c>
      <c r="I467" t="s">
        <v>2445</v>
      </c>
    </row>
    <row r="468" spans="1:9" x14ac:dyDescent="0.25">
      <c r="A468" t="s">
        <v>2446</v>
      </c>
      <c r="B468" t="s">
        <v>91</v>
      </c>
      <c r="C468" t="s">
        <v>264</v>
      </c>
      <c r="D468" t="s">
        <v>265</v>
      </c>
      <c r="E468" t="s">
        <v>933</v>
      </c>
      <c r="F468" t="s">
        <v>1359</v>
      </c>
      <c r="G468" t="s">
        <v>1360</v>
      </c>
      <c r="H468" t="s">
        <v>1655</v>
      </c>
      <c r="I468" t="s">
        <v>1656</v>
      </c>
    </row>
    <row r="469" spans="1:9" x14ac:dyDescent="0.25">
      <c r="A469" t="s">
        <v>2447</v>
      </c>
      <c r="B469" t="s">
        <v>91</v>
      </c>
      <c r="C469" t="s">
        <v>163</v>
      </c>
      <c r="D469" t="s">
        <v>515</v>
      </c>
      <c r="E469" t="s">
        <v>560</v>
      </c>
      <c r="F469" t="s">
        <v>1353</v>
      </c>
      <c r="G469" t="s">
        <v>1354</v>
      </c>
      <c r="H469" t="s">
        <v>1381</v>
      </c>
      <c r="I469" t="s">
        <v>1382</v>
      </c>
    </row>
    <row r="470" spans="1:9" x14ac:dyDescent="0.25">
      <c r="A470" t="s">
        <v>2448</v>
      </c>
      <c r="B470" t="s">
        <v>91</v>
      </c>
      <c r="C470" t="s">
        <v>513</v>
      </c>
      <c r="D470" t="s">
        <v>514</v>
      </c>
      <c r="E470" t="s">
        <v>747</v>
      </c>
      <c r="F470" t="s">
        <v>1517</v>
      </c>
      <c r="G470" t="s">
        <v>1518</v>
      </c>
      <c r="H470" t="s">
        <v>1519</v>
      </c>
      <c r="I470" t="s">
        <v>1520</v>
      </c>
    </row>
    <row r="471" spans="1:9" x14ac:dyDescent="0.25">
      <c r="A471" t="s">
        <v>2449</v>
      </c>
      <c r="B471" t="s">
        <v>91</v>
      </c>
      <c r="C471" t="s">
        <v>1024</v>
      </c>
      <c r="D471" t="s">
        <v>2450</v>
      </c>
      <c r="E471" t="s">
        <v>1023</v>
      </c>
      <c r="F471" t="s">
        <v>1517</v>
      </c>
      <c r="G471" t="s">
        <v>1518</v>
      </c>
      <c r="H471" t="s">
        <v>1717</v>
      </c>
      <c r="I471" t="s">
        <v>1718</v>
      </c>
    </row>
    <row r="472" spans="1:9" x14ac:dyDescent="0.25">
      <c r="A472" t="s">
        <v>2451</v>
      </c>
      <c r="B472" t="s">
        <v>91</v>
      </c>
      <c r="C472" t="s">
        <v>96</v>
      </c>
      <c r="D472" t="s">
        <v>2452</v>
      </c>
      <c r="E472" t="s">
        <v>770</v>
      </c>
      <c r="F472" t="s">
        <v>1494</v>
      </c>
      <c r="G472" t="s">
        <v>1495</v>
      </c>
      <c r="H472" t="s">
        <v>2453</v>
      </c>
      <c r="I472" t="s">
        <v>2454</v>
      </c>
    </row>
    <row r="473" spans="1:9" x14ac:dyDescent="0.25">
      <c r="A473" t="s">
        <v>2455</v>
      </c>
      <c r="B473" t="s">
        <v>91</v>
      </c>
      <c r="C473" t="s">
        <v>108</v>
      </c>
      <c r="D473" t="s">
        <v>113</v>
      </c>
      <c r="E473" t="s">
        <v>804</v>
      </c>
      <c r="F473" t="s">
        <v>1375</v>
      </c>
      <c r="G473" t="s">
        <v>1376</v>
      </c>
      <c r="H473" t="s">
        <v>1377</v>
      </c>
      <c r="I473" t="s">
        <v>1378</v>
      </c>
    </row>
    <row r="474" spans="1:9" x14ac:dyDescent="0.25">
      <c r="A474" t="s">
        <v>2456</v>
      </c>
      <c r="B474" t="s">
        <v>91</v>
      </c>
      <c r="C474" t="s">
        <v>163</v>
      </c>
      <c r="D474" t="s">
        <v>2457</v>
      </c>
      <c r="E474" t="s">
        <v>560</v>
      </c>
      <c r="F474" t="s">
        <v>1353</v>
      </c>
      <c r="G474" t="s">
        <v>1354</v>
      </c>
      <c r="H474" t="s">
        <v>1355</v>
      </c>
      <c r="I474" t="s">
        <v>1356</v>
      </c>
    </row>
    <row r="475" spans="1:9" x14ac:dyDescent="0.25">
      <c r="A475" t="s">
        <v>2458</v>
      </c>
      <c r="B475" t="s">
        <v>91</v>
      </c>
      <c r="C475" t="s">
        <v>472</v>
      </c>
      <c r="D475" t="s">
        <v>2459</v>
      </c>
      <c r="E475" t="s">
        <v>711</v>
      </c>
      <c r="F475" t="s">
        <v>1570</v>
      </c>
      <c r="G475" t="s">
        <v>1571</v>
      </c>
      <c r="H475" t="s">
        <v>1572</v>
      </c>
      <c r="I475" t="s">
        <v>1573</v>
      </c>
    </row>
    <row r="476" spans="1:9" x14ac:dyDescent="0.25">
      <c r="A476" t="s">
        <v>2460</v>
      </c>
      <c r="B476" t="s">
        <v>91</v>
      </c>
      <c r="C476" t="s">
        <v>743</v>
      </c>
      <c r="D476" t="s">
        <v>744</v>
      </c>
      <c r="E476" t="s">
        <v>742</v>
      </c>
      <c r="F476" t="s">
        <v>1547</v>
      </c>
      <c r="G476" t="s">
        <v>1548</v>
      </c>
      <c r="H476" t="s">
        <v>1549</v>
      </c>
      <c r="I476" t="s">
        <v>1550</v>
      </c>
    </row>
    <row r="477" spans="1:9" x14ac:dyDescent="0.25">
      <c r="A477" t="s">
        <v>2461</v>
      </c>
      <c r="B477" t="s">
        <v>91</v>
      </c>
      <c r="C477" t="s">
        <v>424</v>
      </c>
      <c r="D477" t="s">
        <v>425</v>
      </c>
      <c r="E477" t="s">
        <v>1089</v>
      </c>
      <c r="F477" t="s">
        <v>1796</v>
      </c>
      <c r="G477" t="s">
        <v>1797</v>
      </c>
      <c r="H477" t="s">
        <v>2462</v>
      </c>
      <c r="I477" t="s">
        <v>2463</v>
      </c>
    </row>
    <row r="478" spans="1:9" x14ac:dyDescent="0.25">
      <c r="A478" t="s">
        <v>2464</v>
      </c>
      <c r="B478" t="s">
        <v>91</v>
      </c>
      <c r="C478" t="s">
        <v>163</v>
      </c>
      <c r="D478" t="s">
        <v>2465</v>
      </c>
      <c r="E478" t="s">
        <v>560</v>
      </c>
      <c r="F478" t="s">
        <v>1353</v>
      </c>
      <c r="G478" t="s">
        <v>1354</v>
      </c>
      <c r="H478" t="s">
        <v>1513</v>
      </c>
      <c r="I478" t="s">
        <v>1514</v>
      </c>
    </row>
    <row r="479" spans="1:9" x14ac:dyDescent="0.25">
      <c r="A479" t="s">
        <v>2466</v>
      </c>
      <c r="B479" t="s">
        <v>91</v>
      </c>
      <c r="C479" t="s">
        <v>245</v>
      </c>
      <c r="D479" t="s">
        <v>247</v>
      </c>
      <c r="E479" t="s">
        <v>1065</v>
      </c>
      <c r="F479" t="s">
        <v>1445</v>
      </c>
      <c r="G479" t="s">
        <v>1446</v>
      </c>
      <c r="H479" t="s">
        <v>1940</v>
      </c>
      <c r="I479" t="s">
        <v>1941</v>
      </c>
    </row>
    <row r="480" spans="1:9" x14ac:dyDescent="0.25">
      <c r="A480" t="s">
        <v>2467</v>
      </c>
      <c r="B480" t="s">
        <v>91</v>
      </c>
      <c r="C480" t="s">
        <v>99</v>
      </c>
      <c r="D480" t="s">
        <v>227</v>
      </c>
      <c r="E480" t="s">
        <v>733</v>
      </c>
      <c r="F480" t="s">
        <v>1801</v>
      </c>
      <c r="G480" t="s">
        <v>1802</v>
      </c>
      <c r="H480" t="s">
        <v>1803</v>
      </c>
      <c r="I480" t="s">
        <v>1804</v>
      </c>
    </row>
    <row r="481" spans="1:9" x14ac:dyDescent="0.25">
      <c r="A481" t="s">
        <v>2468</v>
      </c>
      <c r="B481" t="s">
        <v>91</v>
      </c>
      <c r="C481" t="s">
        <v>379</v>
      </c>
      <c r="D481" t="s">
        <v>2469</v>
      </c>
      <c r="E481" t="s">
        <v>773</v>
      </c>
      <c r="F481" t="s">
        <v>1385</v>
      </c>
      <c r="G481" t="s">
        <v>1386</v>
      </c>
      <c r="H481" t="s">
        <v>1387</v>
      </c>
      <c r="I481" t="s">
        <v>1388</v>
      </c>
    </row>
    <row r="482" spans="1:9" x14ac:dyDescent="0.25">
      <c r="A482" t="s">
        <v>2470</v>
      </c>
      <c r="B482" t="s">
        <v>91</v>
      </c>
      <c r="C482" t="s">
        <v>362</v>
      </c>
      <c r="D482" t="s">
        <v>363</v>
      </c>
      <c r="E482" t="s">
        <v>819</v>
      </c>
      <c r="F482" t="s">
        <v>1796</v>
      </c>
      <c r="G482" t="s">
        <v>1797</v>
      </c>
      <c r="H482" t="s">
        <v>1798</v>
      </c>
      <c r="I482" t="s">
        <v>1799</v>
      </c>
    </row>
    <row r="483" spans="1:9" x14ac:dyDescent="0.25">
      <c r="A483" t="s">
        <v>2471</v>
      </c>
      <c r="B483" t="s">
        <v>91</v>
      </c>
      <c r="C483" t="s">
        <v>367</v>
      </c>
      <c r="D483" t="s">
        <v>368</v>
      </c>
      <c r="E483" t="s">
        <v>553</v>
      </c>
      <c r="F483" t="s">
        <v>1445</v>
      </c>
      <c r="G483" t="s">
        <v>1446</v>
      </c>
      <c r="H483" t="s">
        <v>2079</v>
      </c>
      <c r="I483" t="s">
        <v>2080</v>
      </c>
    </row>
    <row r="484" spans="1:9" x14ac:dyDescent="0.25">
      <c r="A484" t="s">
        <v>2472</v>
      </c>
      <c r="B484" t="s">
        <v>91</v>
      </c>
      <c r="C484" t="s">
        <v>268</v>
      </c>
      <c r="D484" t="s">
        <v>359</v>
      </c>
      <c r="E484" t="s">
        <v>547</v>
      </c>
      <c r="F484" t="s">
        <v>1461</v>
      </c>
      <c r="G484" t="s">
        <v>1462</v>
      </c>
      <c r="H484" t="s">
        <v>1554</v>
      </c>
      <c r="I484" t="s">
        <v>1555</v>
      </c>
    </row>
    <row r="485" spans="1:9" x14ac:dyDescent="0.25">
      <c r="A485" t="s">
        <v>2473</v>
      </c>
      <c r="B485" t="s">
        <v>91</v>
      </c>
      <c r="C485" t="s">
        <v>487</v>
      </c>
      <c r="D485" t="s">
        <v>2474</v>
      </c>
      <c r="E485" t="s">
        <v>1036</v>
      </c>
      <c r="F485" t="s">
        <v>1425</v>
      </c>
      <c r="G485" t="s">
        <v>1426</v>
      </c>
      <c r="H485" t="s">
        <v>1697</v>
      </c>
      <c r="I485" t="s">
        <v>1698</v>
      </c>
    </row>
    <row r="486" spans="1:9" x14ac:dyDescent="0.25">
      <c r="A486" t="s">
        <v>2475</v>
      </c>
      <c r="B486" t="s">
        <v>91</v>
      </c>
      <c r="C486" t="s">
        <v>312</v>
      </c>
      <c r="D486" t="s">
        <v>325</v>
      </c>
      <c r="E486" t="s">
        <v>573</v>
      </c>
      <c r="F486" t="s">
        <v>1731</v>
      </c>
      <c r="G486" t="s">
        <v>1732</v>
      </c>
      <c r="H486" t="s">
        <v>1952</v>
      </c>
      <c r="I486" t="s">
        <v>1953</v>
      </c>
    </row>
    <row r="487" spans="1:9" x14ac:dyDescent="0.25">
      <c r="A487" t="s">
        <v>2476</v>
      </c>
      <c r="B487" t="s">
        <v>91</v>
      </c>
      <c r="C487" t="s">
        <v>414</v>
      </c>
      <c r="D487" t="s">
        <v>415</v>
      </c>
      <c r="E487" t="s">
        <v>1086</v>
      </c>
      <c r="F487" t="s">
        <v>2039</v>
      </c>
      <c r="G487" t="s">
        <v>2040</v>
      </c>
      <c r="H487" t="s">
        <v>2332</v>
      </c>
      <c r="I487" t="s">
        <v>2333</v>
      </c>
    </row>
    <row r="488" spans="1:9" x14ac:dyDescent="0.25">
      <c r="A488" t="s">
        <v>2477</v>
      </c>
      <c r="B488" t="s">
        <v>91</v>
      </c>
      <c r="C488" t="s">
        <v>509</v>
      </c>
      <c r="D488" t="s">
        <v>738</v>
      </c>
      <c r="E488" t="s">
        <v>737</v>
      </c>
      <c r="F488" t="s">
        <v>1419</v>
      </c>
      <c r="G488" t="s">
        <v>1420</v>
      </c>
      <c r="H488" t="s">
        <v>1587</v>
      </c>
      <c r="I488" t="s">
        <v>1588</v>
      </c>
    </row>
    <row r="489" spans="1:9" x14ac:dyDescent="0.25">
      <c r="A489" t="s">
        <v>2478</v>
      </c>
      <c r="B489" t="s">
        <v>91</v>
      </c>
      <c r="C489" t="s">
        <v>402</v>
      </c>
      <c r="D489" t="s">
        <v>2479</v>
      </c>
      <c r="E489" t="s">
        <v>705</v>
      </c>
      <c r="F489" t="s">
        <v>1400</v>
      </c>
      <c r="G489" t="s">
        <v>1401</v>
      </c>
      <c r="H489" t="s">
        <v>1402</v>
      </c>
      <c r="I489" t="s">
        <v>1403</v>
      </c>
    </row>
    <row r="490" spans="1:9" x14ac:dyDescent="0.25">
      <c r="A490" t="s">
        <v>2480</v>
      </c>
      <c r="B490" t="s">
        <v>91</v>
      </c>
      <c r="C490" t="s">
        <v>1176</v>
      </c>
      <c r="D490" t="s">
        <v>2481</v>
      </c>
      <c r="E490" t="s">
        <v>1175</v>
      </c>
      <c r="F490" t="s">
        <v>1707</v>
      </c>
      <c r="G490" t="s">
        <v>1708</v>
      </c>
      <c r="H490" t="s">
        <v>1709</v>
      </c>
      <c r="I490" t="s">
        <v>1710</v>
      </c>
    </row>
    <row r="491" spans="1:9" x14ac:dyDescent="0.25">
      <c r="A491" t="s">
        <v>2482</v>
      </c>
      <c r="B491" t="s">
        <v>91</v>
      </c>
      <c r="C491" t="s">
        <v>1075</v>
      </c>
      <c r="D491" t="s">
        <v>2483</v>
      </c>
      <c r="E491" t="s">
        <v>1074</v>
      </c>
      <c r="F491" t="s">
        <v>1406</v>
      </c>
      <c r="G491" t="s">
        <v>1407</v>
      </c>
      <c r="H491" t="s">
        <v>1411</v>
      </c>
      <c r="I491" t="s">
        <v>1412</v>
      </c>
    </row>
    <row r="492" spans="1:9" x14ac:dyDescent="0.25">
      <c r="A492" t="s">
        <v>2484</v>
      </c>
      <c r="B492" t="s">
        <v>91</v>
      </c>
      <c r="C492" t="s">
        <v>1056</v>
      </c>
      <c r="D492" t="s">
        <v>1057</v>
      </c>
      <c r="E492" t="s">
        <v>1055</v>
      </c>
      <c r="F492" t="s">
        <v>1522</v>
      </c>
      <c r="G492" t="s">
        <v>1523</v>
      </c>
      <c r="H492" t="s">
        <v>1704</v>
      </c>
      <c r="I492" t="s">
        <v>1705</v>
      </c>
    </row>
    <row r="493" spans="1:9" x14ac:dyDescent="0.25">
      <c r="A493" t="s">
        <v>2485</v>
      </c>
      <c r="B493" t="s">
        <v>91</v>
      </c>
      <c r="C493" t="s">
        <v>203</v>
      </c>
      <c r="D493" t="s">
        <v>502</v>
      </c>
      <c r="E493" t="s">
        <v>1127</v>
      </c>
      <c r="F493" t="s">
        <v>1434</v>
      </c>
      <c r="G493" t="s">
        <v>1435</v>
      </c>
      <c r="H493" t="s">
        <v>1436</v>
      </c>
      <c r="I493" t="s">
        <v>1437</v>
      </c>
    </row>
    <row r="494" spans="1:9" x14ac:dyDescent="0.25">
      <c r="A494" t="s">
        <v>2486</v>
      </c>
      <c r="B494" t="s">
        <v>91</v>
      </c>
      <c r="C494" t="s">
        <v>1300</v>
      </c>
      <c r="D494" t="s">
        <v>1301</v>
      </c>
      <c r="E494" t="s">
        <v>1299</v>
      </c>
      <c r="F494" t="s">
        <v>1391</v>
      </c>
      <c r="G494" t="s">
        <v>1392</v>
      </c>
      <c r="H494" t="s">
        <v>1393</v>
      </c>
      <c r="I494" t="s">
        <v>1394</v>
      </c>
    </row>
    <row r="495" spans="1:9" x14ac:dyDescent="0.25">
      <c r="A495" t="s">
        <v>2487</v>
      </c>
      <c r="B495" t="s">
        <v>91</v>
      </c>
      <c r="C495" t="s">
        <v>200</v>
      </c>
      <c r="D495" t="s">
        <v>2488</v>
      </c>
      <c r="E495" t="s">
        <v>757</v>
      </c>
      <c r="F495" t="s">
        <v>1406</v>
      </c>
      <c r="G495" t="s">
        <v>1407</v>
      </c>
      <c r="H495" t="s">
        <v>1644</v>
      </c>
      <c r="I495" t="s">
        <v>1645</v>
      </c>
    </row>
    <row r="496" spans="1:9" x14ac:dyDescent="0.25">
      <c r="A496" t="s">
        <v>2489</v>
      </c>
      <c r="B496" t="s">
        <v>91</v>
      </c>
      <c r="C496" t="s">
        <v>106</v>
      </c>
      <c r="D496" t="s">
        <v>2490</v>
      </c>
      <c r="E496" t="s">
        <v>566</v>
      </c>
      <c r="F496" t="s">
        <v>1506</v>
      </c>
      <c r="G496" t="s">
        <v>1507</v>
      </c>
      <c r="H496" t="s">
        <v>1958</v>
      </c>
      <c r="I496" t="s">
        <v>1959</v>
      </c>
    </row>
    <row r="497" spans="1:9" x14ac:dyDescent="0.25">
      <c r="A497" t="s">
        <v>2491</v>
      </c>
      <c r="B497" t="s">
        <v>91</v>
      </c>
      <c r="C497" t="s">
        <v>163</v>
      </c>
      <c r="D497" t="s">
        <v>164</v>
      </c>
      <c r="E497" t="s">
        <v>560</v>
      </c>
      <c r="F497" t="s">
        <v>1353</v>
      </c>
      <c r="G497" t="s">
        <v>1354</v>
      </c>
      <c r="H497" t="s">
        <v>1502</v>
      </c>
      <c r="I497" t="s">
        <v>1503</v>
      </c>
    </row>
    <row r="498" spans="1:9" x14ac:dyDescent="0.25">
      <c r="A498" t="s">
        <v>2492</v>
      </c>
      <c r="B498" t="s">
        <v>91</v>
      </c>
      <c r="C498" t="s">
        <v>1149</v>
      </c>
      <c r="D498" t="s">
        <v>2493</v>
      </c>
      <c r="E498" t="s">
        <v>1148</v>
      </c>
    </row>
    <row r="499" spans="1:9" x14ac:dyDescent="0.25">
      <c r="A499" t="s">
        <v>2494</v>
      </c>
      <c r="B499" t="s">
        <v>91</v>
      </c>
      <c r="C499" t="s">
        <v>163</v>
      </c>
      <c r="D499" t="s">
        <v>328</v>
      </c>
      <c r="E499" t="s">
        <v>560</v>
      </c>
      <c r="F499" t="s">
        <v>1353</v>
      </c>
      <c r="G499" t="s">
        <v>1354</v>
      </c>
      <c r="H499" t="s">
        <v>1355</v>
      </c>
      <c r="I499" t="s">
        <v>1356</v>
      </c>
    </row>
    <row r="500" spans="1:9" x14ac:dyDescent="0.25">
      <c r="A500" t="s">
        <v>2495</v>
      </c>
      <c r="B500" t="s">
        <v>91</v>
      </c>
      <c r="C500" t="s">
        <v>106</v>
      </c>
      <c r="D500" t="s">
        <v>216</v>
      </c>
      <c r="E500" t="s">
        <v>566</v>
      </c>
      <c r="F500" t="s">
        <v>1506</v>
      </c>
      <c r="G500" t="s">
        <v>1507</v>
      </c>
      <c r="H500" t="s">
        <v>1712</v>
      </c>
      <c r="I500" t="s">
        <v>1713</v>
      </c>
    </row>
    <row r="501" spans="1:9" x14ac:dyDescent="0.25">
      <c r="A501" t="s">
        <v>2496</v>
      </c>
      <c r="B501" t="s">
        <v>91</v>
      </c>
      <c r="C501" t="s">
        <v>1323</v>
      </c>
      <c r="D501" t="s">
        <v>1324</v>
      </c>
      <c r="E501" t="s">
        <v>1322</v>
      </c>
      <c r="F501" t="s">
        <v>2071</v>
      </c>
      <c r="G501" t="s">
        <v>2072</v>
      </c>
      <c r="H501" t="s">
        <v>2497</v>
      </c>
      <c r="I501" t="s">
        <v>2498</v>
      </c>
    </row>
    <row r="502" spans="1:9" x14ac:dyDescent="0.25">
      <c r="A502" t="s">
        <v>2499</v>
      </c>
      <c r="B502" t="s">
        <v>91</v>
      </c>
      <c r="C502" t="s">
        <v>338</v>
      </c>
      <c r="D502" t="s">
        <v>340</v>
      </c>
      <c r="E502" t="s">
        <v>763</v>
      </c>
      <c r="F502" t="s">
        <v>1440</v>
      </c>
      <c r="G502" t="s">
        <v>1441</v>
      </c>
      <c r="H502" t="s">
        <v>1442</v>
      </c>
      <c r="I502" t="s">
        <v>1443</v>
      </c>
    </row>
    <row r="503" spans="1:9" x14ac:dyDescent="0.25">
      <c r="A503" t="s">
        <v>2500</v>
      </c>
      <c r="B503" t="s">
        <v>91</v>
      </c>
      <c r="C503" t="s">
        <v>198</v>
      </c>
      <c r="D503" t="s">
        <v>284</v>
      </c>
      <c r="E503" t="s">
        <v>563</v>
      </c>
      <c r="F503" t="s">
        <v>1445</v>
      </c>
      <c r="G503" t="s">
        <v>1446</v>
      </c>
      <c r="H503" t="s">
        <v>1447</v>
      </c>
      <c r="I503" t="s">
        <v>1448</v>
      </c>
    </row>
    <row r="504" spans="1:9" x14ac:dyDescent="0.25">
      <c r="A504" t="s">
        <v>2501</v>
      </c>
      <c r="B504" t="s">
        <v>91</v>
      </c>
      <c r="C504" t="s">
        <v>96</v>
      </c>
      <c r="D504" t="s">
        <v>98</v>
      </c>
      <c r="E504" t="s">
        <v>770</v>
      </c>
      <c r="F504" t="s">
        <v>1494</v>
      </c>
      <c r="G504" t="s">
        <v>1495</v>
      </c>
      <c r="H504" t="s">
        <v>2453</v>
      </c>
      <c r="I504" t="s">
        <v>2454</v>
      </c>
    </row>
    <row r="505" spans="1:9" x14ac:dyDescent="0.25">
      <c r="A505" t="s">
        <v>2502</v>
      </c>
      <c r="B505" t="s">
        <v>91</v>
      </c>
      <c r="C505" t="s">
        <v>357</v>
      </c>
      <c r="D505" t="s">
        <v>2503</v>
      </c>
      <c r="E505" t="s">
        <v>1205</v>
      </c>
      <c r="F505" t="s">
        <v>1987</v>
      </c>
      <c r="G505" t="s">
        <v>1988</v>
      </c>
      <c r="H505" t="s">
        <v>1989</v>
      </c>
      <c r="I505" t="s">
        <v>1990</v>
      </c>
    </row>
    <row r="506" spans="1:9" x14ac:dyDescent="0.25">
      <c r="A506" t="s">
        <v>2504</v>
      </c>
      <c r="B506" t="s">
        <v>91</v>
      </c>
      <c r="C506" t="s">
        <v>118</v>
      </c>
      <c r="D506" t="s">
        <v>119</v>
      </c>
      <c r="E506" t="s">
        <v>671</v>
      </c>
      <c r="F506" t="s">
        <v>1483</v>
      </c>
      <c r="G506" t="s">
        <v>1484</v>
      </c>
      <c r="H506" t="s">
        <v>2505</v>
      </c>
      <c r="I506" t="s">
        <v>2506</v>
      </c>
    </row>
    <row r="507" spans="1:9" x14ac:dyDescent="0.25">
      <c r="A507" t="s">
        <v>2507</v>
      </c>
      <c r="B507" t="s">
        <v>91</v>
      </c>
      <c r="C507" t="s">
        <v>163</v>
      </c>
      <c r="D507" t="s">
        <v>2508</v>
      </c>
      <c r="E507" t="s">
        <v>560</v>
      </c>
      <c r="F507" t="s">
        <v>1353</v>
      </c>
      <c r="G507" t="s">
        <v>1354</v>
      </c>
      <c r="H507" t="s">
        <v>1558</v>
      </c>
      <c r="I507" t="s">
        <v>1559</v>
      </c>
    </row>
    <row r="508" spans="1:9" x14ac:dyDescent="0.25">
      <c r="A508" t="s">
        <v>2509</v>
      </c>
      <c r="B508" t="s">
        <v>91</v>
      </c>
      <c r="C508" t="s">
        <v>367</v>
      </c>
      <c r="D508" t="s">
        <v>388</v>
      </c>
      <c r="E508" t="s">
        <v>553</v>
      </c>
      <c r="F508" t="s">
        <v>1445</v>
      </c>
      <c r="G508" t="s">
        <v>1446</v>
      </c>
      <c r="H508" t="s">
        <v>2079</v>
      </c>
      <c r="I508" t="s">
        <v>2080</v>
      </c>
    </row>
    <row r="509" spans="1:9" x14ac:dyDescent="0.25">
      <c r="A509" t="s">
        <v>2510</v>
      </c>
      <c r="B509" t="s">
        <v>91</v>
      </c>
      <c r="C509" t="s">
        <v>920</v>
      </c>
      <c r="D509" t="s">
        <v>2511</v>
      </c>
      <c r="E509" t="s">
        <v>919</v>
      </c>
      <c r="F509" t="s">
        <v>1425</v>
      </c>
      <c r="G509" t="s">
        <v>1426</v>
      </c>
      <c r="H509" t="s">
        <v>1427</v>
      </c>
      <c r="I509" t="s">
        <v>1428</v>
      </c>
    </row>
    <row r="510" spans="1:9" x14ac:dyDescent="0.25">
      <c r="A510" t="s">
        <v>2512</v>
      </c>
      <c r="B510" t="s">
        <v>91</v>
      </c>
      <c r="C510" t="s">
        <v>1061</v>
      </c>
      <c r="D510" t="s">
        <v>2513</v>
      </c>
      <c r="E510" t="s">
        <v>1060</v>
      </c>
      <c r="F510" t="s">
        <v>1414</v>
      </c>
      <c r="G510" t="s">
        <v>1415</v>
      </c>
      <c r="H510" t="s">
        <v>1768</v>
      </c>
      <c r="I510" t="s">
        <v>1769</v>
      </c>
    </row>
    <row r="511" spans="1:9" x14ac:dyDescent="0.25">
      <c r="A511" t="s">
        <v>2514</v>
      </c>
      <c r="B511" t="s">
        <v>91</v>
      </c>
      <c r="C511" t="s">
        <v>1070</v>
      </c>
      <c r="D511" t="s">
        <v>2515</v>
      </c>
      <c r="E511" t="s">
        <v>1069</v>
      </c>
      <c r="F511" t="s">
        <v>2516</v>
      </c>
      <c r="G511" t="s">
        <v>2517</v>
      </c>
      <c r="H511" t="s">
        <v>2518</v>
      </c>
      <c r="I511" t="s">
        <v>2519</v>
      </c>
    </row>
    <row r="512" spans="1:9" x14ac:dyDescent="0.25">
      <c r="A512" t="s">
        <v>2520</v>
      </c>
      <c r="B512" t="s">
        <v>91</v>
      </c>
      <c r="C512" t="s">
        <v>443</v>
      </c>
      <c r="D512" t="s">
        <v>464</v>
      </c>
      <c r="E512" t="s">
        <v>780</v>
      </c>
      <c r="F512" t="s">
        <v>1391</v>
      </c>
      <c r="G512" t="s">
        <v>1392</v>
      </c>
      <c r="H512" t="s">
        <v>2171</v>
      </c>
      <c r="I512" t="s">
        <v>2172</v>
      </c>
    </row>
    <row r="513" spans="1:9" x14ac:dyDescent="0.25">
      <c r="A513" t="s">
        <v>2521</v>
      </c>
      <c r="B513" t="s">
        <v>91</v>
      </c>
      <c r="C513" t="s">
        <v>177</v>
      </c>
      <c r="D513" t="s">
        <v>178</v>
      </c>
      <c r="E513" t="s">
        <v>1167</v>
      </c>
      <c r="F513" t="s">
        <v>1570</v>
      </c>
      <c r="G513" t="s">
        <v>1571</v>
      </c>
      <c r="H513" t="s">
        <v>1572</v>
      </c>
      <c r="I513" t="s">
        <v>1573</v>
      </c>
    </row>
    <row r="514" spans="1:9" x14ac:dyDescent="0.25">
      <c r="A514" t="s">
        <v>2522</v>
      </c>
      <c r="B514" t="s">
        <v>91</v>
      </c>
      <c r="C514" t="s">
        <v>143</v>
      </c>
      <c r="D514" t="s">
        <v>145</v>
      </c>
      <c r="E514" t="s">
        <v>550</v>
      </c>
      <c r="F514" t="s">
        <v>1450</v>
      </c>
      <c r="G514" t="s">
        <v>1451</v>
      </c>
      <c r="H514" t="s">
        <v>1452</v>
      </c>
      <c r="I514" t="s">
        <v>1453</v>
      </c>
    </row>
    <row r="515" spans="1:9" x14ac:dyDescent="0.25">
      <c r="A515" t="s">
        <v>2523</v>
      </c>
      <c r="B515" t="s">
        <v>91</v>
      </c>
      <c r="C515" t="s">
        <v>485</v>
      </c>
      <c r="D515" t="s">
        <v>2524</v>
      </c>
      <c r="E515" t="s">
        <v>612</v>
      </c>
      <c r="F515" t="s">
        <v>1547</v>
      </c>
      <c r="G515" t="s">
        <v>1548</v>
      </c>
      <c r="H515" t="s">
        <v>2525</v>
      </c>
      <c r="I515" t="s">
        <v>2526</v>
      </c>
    </row>
    <row r="516" spans="1:9" x14ac:dyDescent="0.25">
      <c r="A516" t="s">
        <v>2527</v>
      </c>
      <c r="B516" t="s">
        <v>91</v>
      </c>
      <c r="C516" t="s">
        <v>122</v>
      </c>
      <c r="D516" t="s">
        <v>2528</v>
      </c>
      <c r="E516" t="s">
        <v>537</v>
      </c>
      <c r="F516" t="s">
        <v>1450</v>
      </c>
      <c r="G516" t="s">
        <v>1451</v>
      </c>
      <c r="H516" t="s">
        <v>1452</v>
      </c>
      <c r="I516" t="s">
        <v>1453</v>
      </c>
    </row>
    <row r="517" spans="1:9" x14ac:dyDescent="0.25">
      <c r="A517" t="s">
        <v>2529</v>
      </c>
      <c r="B517" t="s">
        <v>91</v>
      </c>
      <c r="C517" t="s">
        <v>717</v>
      </c>
      <c r="D517" t="s">
        <v>718</v>
      </c>
      <c r="E517" t="s">
        <v>716</v>
      </c>
      <c r="F517" t="s">
        <v>1450</v>
      </c>
      <c r="G517" t="s">
        <v>1451</v>
      </c>
      <c r="H517" t="s">
        <v>1622</v>
      </c>
      <c r="I517" t="s">
        <v>1437</v>
      </c>
    </row>
    <row r="518" spans="1:9" x14ac:dyDescent="0.25">
      <c r="A518" t="s">
        <v>2530</v>
      </c>
      <c r="B518" t="s">
        <v>91</v>
      </c>
      <c r="C518" t="s">
        <v>163</v>
      </c>
      <c r="D518" t="s">
        <v>2531</v>
      </c>
      <c r="E518" t="s">
        <v>560</v>
      </c>
      <c r="F518" t="s">
        <v>1353</v>
      </c>
      <c r="G518" t="s">
        <v>1354</v>
      </c>
      <c r="H518" t="s">
        <v>1355</v>
      </c>
      <c r="I518" t="s">
        <v>1356</v>
      </c>
    </row>
    <row r="519" spans="1:9" x14ac:dyDescent="0.25">
      <c r="A519" t="s">
        <v>2532</v>
      </c>
      <c r="B519" t="s">
        <v>91</v>
      </c>
      <c r="C519" t="s">
        <v>134</v>
      </c>
      <c r="D519" t="s">
        <v>135</v>
      </c>
      <c r="E519" t="s">
        <v>1158</v>
      </c>
      <c r="F519" t="s">
        <v>2533</v>
      </c>
      <c r="G519" t="s">
        <v>2534</v>
      </c>
      <c r="H519" t="s">
        <v>2535</v>
      </c>
      <c r="I519" t="s">
        <v>2536</v>
      </c>
    </row>
    <row r="520" spans="1:9" x14ac:dyDescent="0.25">
      <c r="A520" t="s">
        <v>2537</v>
      </c>
      <c r="B520" t="s">
        <v>91</v>
      </c>
      <c r="C520" t="s">
        <v>487</v>
      </c>
      <c r="D520" t="s">
        <v>2538</v>
      </c>
      <c r="E520" t="s">
        <v>1036</v>
      </c>
      <c r="F520" t="s">
        <v>1425</v>
      </c>
      <c r="G520" t="s">
        <v>1426</v>
      </c>
      <c r="H520" t="s">
        <v>1697</v>
      </c>
      <c r="I520" t="s">
        <v>1698</v>
      </c>
    </row>
    <row r="521" spans="1:9" x14ac:dyDescent="0.25">
      <c r="A521" t="s">
        <v>2539</v>
      </c>
      <c r="B521" t="s">
        <v>91</v>
      </c>
      <c r="C521" t="s">
        <v>485</v>
      </c>
      <c r="D521" t="s">
        <v>486</v>
      </c>
      <c r="E521" t="s">
        <v>612</v>
      </c>
      <c r="F521" t="s">
        <v>1547</v>
      </c>
      <c r="G521" t="s">
        <v>1548</v>
      </c>
      <c r="H521" t="s">
        <v>2525</v>
      </c>
      <c r="I521" t="s">
        <v>2526</v>
      </c>
    </row>
    <row r="522" spans="1:9" x14ac:dyDescent="0.25">
      <c r="A522" t="s">
        <v>2540</v>
      </c>
      <c r="B522" t="s">
        <v>91</v>
      </c>
      <c r="C522" t="s">
        <v>96</v>
      </c>
      <c r="D522" t="s">
        <v>226</v>
      </c>
      <c r="E522" t="s">
        <v>770</v>
      </c>
      <c r="F522" t="s">
        <v>1494</v>
      </c>
      <c r="G522" t="s">
        <v>1495</v>
      </c>
      <c r="H522" t="s">
        <v>2453</v>
      </c>
      <c r="I522" t="s">
        <v>2454</v>
      </c>
    </row>
    <row r="523" spans="1:9" x14ac:dyDescent="0.25">
      <c r="A523" t="s">
        <v>2541</v>
      </c>
      <c r="B523" t="s">
        <v>91</v>
      </c>
      <c r="C523" t="s">
        <v>163</v>
      </c>
      <c r="D523" t="s">
        <v>219</v>
      </c>
      <c r="E523" t="s">
        <v>560</v>
      </c>
      <c r="F523" t="s">
        <v>1353</v>
      </c>
      <c r="G523" t="s">
        <v>1354</v>
      </c>
      <c r="H523" t="s">
        <v>1558</v>
      </c>
      <c r="I523" t="s">
        <v>1559</v>
      </c>
    </row>
    <row r="524" spans="1:9" x14ac:dyDescent="0.25">
      <c r="A524" t="s">
        <v>2542</v>
      </c>
      <c r="B524" t="s">
        <v>91</v>
      </c>
      <c r="C524" t="s">
        <v>376</v>
      </c>
      <c r="D524" t="s">
        <v>519</v>
      </c>
      <c r="E524" t="s">
        <v>586</v>
      </c>
      <c r="F524" t="s">
        <v>1725</v>
      </c>
      <c r="G524" t="s">
        <v>1726</v>
      </c>
      <c r="H524" t="s">
        <v>1727</v>
      </c>
      <c r="I524" t="s">
        <v>1728</v>
      </c>
    </row>
    <row r="525" spans="1:9" x14ac:dyDescent="0.25">
      <c r="A525" t="s">
        <v>2543</v>
      </c>
      <c r="B525" t="s">
        <v>91</v>
      </c>
      <c r="C525" t="s">
        <v>163</v>
      </c>
      <c r="D525" t="s">
        <v>2544</v>
      </c>
      <c r="E525" t="s">
        <v>560</v>
      </c>
      <c r="F525" t="s">
        <v>1353</v>
      </c>
      <c r="G525" t="s">
        <v>1354</v>
      </c>
      <c r="H525" t="s">
        <v>1355</v>
      </c>
      <c r="I525" t="s">
        <v>1356</v>
      </c>
    </row>
    <row r="526" spans="1:9" x14ac:dyDescent="0.25">
      <c r="A526" t="s">
        <v>2545</v>
      </c>
      <c r="B526" t="s">
        <v>91</v>
      </c>
      <c r="C526" t="s">
        <v>163</v>
      </c>
      <c r="D526" t="s">
        <v>2546</v>
      </c>
      <c r="E526" t="s">
        <v>560</v>
      </c>
      <c r="F526" t="s">
        <v>1353</v>
      </c>
      <c r="G526" t="s">
        <v>1354</v>
      </c>
      <c r="H526" t="s">
        <v>1381</v>
      </c>
      <c r="I526" t="s">
        <v>1382</v>
      </c>
    </row>
    <row r="527" spans="1:9" x14ac:dyDescent="0.25">
      <c r="A527" t="s">
        <v>2547</v>
      </c>
      <c r="B527" t="s">
        <v>91</v>
      </c>
      <c r="C527" t="s">
        <v>253</v>
      </c>
      <c r="D527" t="s">
        <v>254</v>
      </c>
      <c r="E527" t="s">
        <v>641</v>
      </c>
      <c r="F527" t="s">
        <v>1547</v>
      </c>
      <c r="G527" t="s">
        <v>1548</v>
      </c>
      <c r="H527" t="s">
        <v>2548</v>
      </c>
      <c r="I527" t="s">
        <v>2549</v>
      </c>
    </row>
    <row r="528" spans="1:9" x14ac:dyDescent="0.25">
      <c r="A528" t="s">
        <v>2550</v>
      </c>
      <c r="B528" t="s">
        <v>91</v>
      </c>
      <c r="C528" t="s">
        <v>1120</v>
      </c>
      <c r="D528" t="s">
        <v>2551</v>
      </c>
      <c r="E528" t="s">
        <v>1119</v>
      </c>
      <c r="F528" t="s">
        <v>1385</v>
      </c>
      <c r="G528" t="s">
        <v>1386</v>
      </c>
      <c r="H528" t="s">
        <v>1387</v>
      </c>
      <c r="I528" t="s">
        <v>1388</v>
      </c>
    </row>
    <row r="529" spans="1:9" x14ac:dyDescent="0.25">
      <c r="A529" t="s">
        <v>2552</v>
      </c>
      <c r="B529" t="s">
        <v>91</v>
      </c>
      <c r="C529" t="s">
        <v>395</v>
      </c>
      <c r="D529" t="s">
        <v>396</v>
      </c>
      <c r="E529" t="s">
        <v>609</v>
      </c>
      <c r="F529" t="s">
        <v>1450</v>
      </c>
      <c r="G529" t="s">
        <v>1451</v>
      </c>
      <c r="H529" t="s">
        <v>1683</v>
      </c>
      <c r="I529" t="s">
        <v>1684</v>
      </c>
    </row>
    <row r="530" spans="1:9" x14ac:dyDescent="0.25">
      <c r="A530" t="s">
        <v>2553</v>
      </c>
      <c r="B530" t="s">
        <v>91</v>
      </c>
      <c r="C530" t="s">
        <v>432</v>
      </c>
      <c r="D530" t="s">
        <v>434</v>
      </c>
      <c r="E530" t="s">
        <v>633</v>
      </c>
      <c r="F530" t="s">
        <v>1750</v>
      </c>
      <c r="G530" t="s">
        <v>1751</v>
      </c>
      <c r="H530" t="s">
        <v>1807</v>
      </c>
      <c r="I530" t="s">
        <v>1808</v>
      </c>
    </row>
    <row r="531" spans="1:9" x14ac:dyDescent="0.25">
      <c r="A531" t="s">
        <v>2554</v>
      </c>
      <c r="B531" t="s">
        <v>91</v>
      </c>
      <c r="C531" t="s">
        <v>1149</v>
      </c>
      <c r="D531" t="s">
        <v>2555</v>
      </c>
      <c r="E531" t="s">
        <v>1148</v>
      </c>
      <c r="F531" t="s">
        <v>1406</v>
      </c>
      <c r="G531" t="s">
        <v>1407</v>
      </c>
      <c r="H531" t="s">
        <v>1408</v>
      </c>
      <c r="I531" t="s">
        <v>1409</v>
      </c>
    </row>
    <row r="532" spans="1:9" x14ac:dyDescent="0.25">
      <c r="A532" t="s">
        <v>2556</v>
      </c>
      <c r="B532" t="s">
        <v>91</v>
      </c>
      <c r="C532" t="s">
        <v>1149</v>
      </c>
      <c r="D532" t="s">
        <v>2557</v>
      </c>
      <c r="E532" t="s">
        <v>1148</v>
      </c>
      <c r="F532" t="s">
        <v>1406</v>
      </c>
      <c r="G532" t="s">
        <v>1407</v>
      </c>
      <c r="H532" t="s">
        <v>1411</v>
      </c>
      <c r="I532" t="s">
        <v>1412</v>
      </c>
    </row>
    <row r="533" spans="1:9" x14ac:dyDescent="0.25">
      <c r="A533" t="s">
        <v>2558</v>
      </c>
      <c r="B533" t="s">
        <v>91</v>
      </c>
      <c r="C533" t="s">
        <v>180</v>
      </c>
      <c r="D533" t="s">
        <v>2559</v>
      </c>
      <c r="E533" t="s">
        <v>1140</v>
      </c>
    </row>
    <row r="534" spans="1:9" x14ac:dyDescent="0.25">
      <c r="A534" t="s">
        <v>2560</v>
      </c>
      <c r="B534" t="s">
        <v>91</v>
      </c>
      <c r="C534" t="s">
        <v>149</v>
      </c>
      <c r="D534" t="s">
        <v>2561</v>
      </c>
      <c r="E534" t="s">
        <v>812</v>
      </c>
      <c r="F534" t="s">
        <v>1364</v>
      </c>
      <c r="G534" t="s">
        <v>1365</v>
      </c>
      <c r="H534" t="s">
        <v>1366</v>
      </c>
      <c r="I534" t="s">
        <v>1367</v>
      </c>
    </row>
    <row r="535" spans="1:9" x14ac:dyDescent="0.25">
      <c r="A535" t="s">
        <v>2562</v>
      </c>
      <c r="B535" t="s">
        <v>91</v>
      </c>
      <c r="C535" t="s">
        <v>929</v>
      </c>
      <c r="D535" t="s">
        <v>2563</v>
      </c>
      <c r="E535" t="s">
        <v>928</v>
      </c>
      <c r="F535" t="s">
        <v>1419</v>
      </c>
      <c r="G535" t="s">
        <v>1420</v>
      </c>
      <c r="H535" t="s">
        <v>1421</v>
      </c>
      <c r="I535" t="s">
        <v>1422</v>
      </c>
    </row>
    <row r="536" spans="1:9" x14ac:dyDescent="0.25">
      <c r="A536" t="s">
        <v>2564</v>
      </c>
      <c r="B536" t="s">
        <v>91</v>
      </c>
      <c r="C536" t="s">
        <v>122</v>
      </c>
      <c r="D536" t="s">
        <v>289</v>
      </c>
      <c r="E536" t="s">
        <v>537</v>
      </c>
      <c r="F536" t="s">
        <v>1450</v>
      </c>
      <c r="G536" t="s">
        <v>1451</v>
      </c>
      <c r="H536" t="s">
        <v>1452</v>
      </c>
      <c r="I536" t="s">
        <v>1453</v>
      </c>
    </row>
    <row r="537" spans="1:9" x14ac:dyDescent="0.25">
      <c r="A537" t="s">
        <v>2565</v>
      </c>
      <c r="B537" t="s">
        <v>91</v>
      </c>
      <c r="C537" t="s">
        <v>163</v>
      </c>
      <c r="D537" t="s">
        <v>2566</v>
      </c>
      <c r="E537" t="s">
        <v>560</v>
      </c>
      <c r="F537" t="s">
        <v>1353</v>
      </c>
      <c r="G537" t="s">
        <v>1354</v>
      </c>
      <c r="H537" t="s">
        <v>1513</v>
      </c>
      <c r="I537" t="s">
        <v>1514</v>
      </c>
    </row>
    <row r="538" spans="1:9" x14ac:dyDescent="0.25">
      <c r="A538" t="s">
        <v>2567</v>
      </c>
      <c r="B538" t="s">
        <v>91</v>
      </c>
      <c r="C538" t="s">
        <v>1149</v>
      </c>
      <c r="D538" t="s">
        <v>2568</v>
      </c>
      <c r="E538" t="s">
        <v>1148</v>
      </c>
      <c r="F538" t="s">
        <v>1406</v>
      </c>
      <c r="G538" t="s">
        <v>1407</v>
      </c>
      <c r="H538" t="s">
        <v>1638</v>
      </c>
      <c r="I538" t="s">
        <v>1639</v>
      </c>
    </row>
    <row r="539" spans="1:9" x14ac:dyDescent="0.25">
      <c r="A539" t="s">
        <v>2569</v>
      </c>
      <c r="B539" t="s">
        <v>91</v>
      </c>
      <c r="C539" t="s">
        <v>1004</v>
      </c>
      <c r="D539" t="s">
        <v>2570</v>
      </c>
      <c r="E539" t="s">
        <v>1003</v>
      </c>
      <c r="F539" t="s">
        <v>1506</v>
      </c>
      <c r="G539" t="s">
        <v>1507</v>
      </c>
      <c r="H539" t="s">
        <v>1508</v>
      </c>
      <c r="I539" t="s">
        <v>1509</v>
      </c>
    </row>
    <row r="540" spans="1:9" x14ac:dyDescent="0.25">
      <c r="A540" t="s">
        <v>2571</v>
      </c>
      <c r="B540" t="s">
        <v>91</v>
      </c>
      <c r="C540" t="s">
        <v>880</v>
      </c>
      <c r="D540" t="s">
        <v>881</v>
      </c>
      <c r="E540" t="s">
        <v>879</v>
      </c>
      <c r="F540" t="s">
        <v>1599</v>
      </c>
      <c r="G540" t="s">
        <v>1600</v>
      </c>
      <c r="H540" t="s">
        <v>2572</v>
      </c>
      <c r="I540" t="s">
        <v>2573</v>
      </c>
    </row>
    <row r="541" spans="1:9" x14ac:dyDescent="0.25">
      <c r="A541" t="s">
        <v>2574</v>
      </c>
      <c r="B541" t="s">
        <v>91</v>
      </c>
      <c r="C541" t="s">
        <v>696</v>
      </c>
      <c r="D541" t="s">
        <v>697</v>
      </c>
      <c r="E541" t="s">
        <v>695</v>
      </c>
      <c r="F541" t="s">
        <v>2161</v>
      </c>
      <c r="G541" t="s">
        <v>2162</v>
      </c>
      <c r="H541" t="s">
        <v>2163</v>
      </c>
      <c r="I541" t="s">
        <v>2164</v>
      </c>
    </row>
    <row r="542" spans="1:9" x14ac:dyDescent="0.25">
      <c r="A542" t="s">
        <v>2575</v>
      </c>
      <c r="B542" t="s">
        <v>91</v>
      </c>
      <c r="C542" t="s">
        <v>476</v>
      </c>
      <c r="D542" t="s">
        <v>2576</v>
      </c>
      <c r="E542" t="s">
        <v>884</v>
      </c>
      <c r="F542" t="s">
        <v>1414</v>
      </c>
      <c r="G542" t="s">
        <v>1415</v>
      </c>
      <c r="H542" t="s">
        <v>1768</v>
      </c>
      <c r="I542" t="s">
        <v>1769</v>
      </c>
    </row>
    <row r="543" spans="1:9" x14ac:dyDescent="0.25">
      <c r="A543" t="s">
        <v>2577</v>
      </c>
      <c r="B543" t="s">
        <v>91</v>
      </c>
      <c r="C543" t="s">
        <v>1261</v>
      </c>
      <c r="D543" t="s">
        <v>2578</v>
      </c>
      <c r="E543" t="s">
        <v>1260</v>
      </c>
      <c r="F543" t="s">
        <v>1353</v>
      </c>
      <c r="G543" t="s">
        <v>1354</v>
      </c>
      <c r="H543" t="s">
        <v>1513</v>
      </c>
      <c r="I543" t="s">
        <v>1514</v>
      </c>
    </row>
    <row r="544" spans="1:9" x14ac:dyDescent="0.25">
      <c r="A544" t="s">
        <v>2579</v>
      </c>
      <c r="B544" t="s">
        <v>91</v>
      </c>
      <c r="C544" t="s">
        <v>312</v>
      </c>
      <c r="D544" t="s">
        <v>313</v>
      </c>
      <c r="E544" t="s">
        <v>573</v>
      </c>
      <c r="F544" t="s">
        <v>1731</v>
      </c>
      <c r="G544" t="s">
        <v>1732</v>
      </c>
      <c r="H544" t="s">
        <v>1952</v>
      </c>
      <c r="I544" t="s">
        <v>1953</v>
      </c>
    </row>
    <row r="545" spans="1:9" x14ac:dyDescent="0.25">
      <c r="A545" t="s">
        <v>2580</v>
      </c>
      <c r="B545" t="s">
        <v>91</v>
      </c>
      <c r="C545" t="s">
        <v>120</v>
      </c>
      <c r="D545" t="s">
        <v>121</v>
      </c>
      <c r="E545" t="s">
        <v>726</v>
      </c>
      <c r="F545" t="s">
        <v>1782</v>
      </c>
      <c r="G545" t="s">
        <v>1783</v>
      </c>
      <c r="H545" t="s">
        <v>1784</v>
      </c>
      <c r="I545" t="s">
        <v>1785</v>
      </c>
    </row>
    <row r="546" spans="1:9" x14ac:dyDescent="0.25">
      <c r="A546" t="s">
        <v>2581</v>
      </c>
      <c r="B546" t="s">
        <v>91</v>
      </c>
      <c r="C546" t="s">
        <v>476</v>
      </c>
      <c r="D546" t="s">
        <v>477</v>
      </c>
      <c r="E546" t="s">
        <v>884</v>
      </c>
      <c r="F546" t="s">
        <v>1761</v>
      </c>
      <c r="G546" t="s">
        <v>1762</v>
      </c>
      <c r="H546" t="s">
        <v>2371</v>
      </c>
      <c r="I546" t="s">
        <v>2372</v>
      </c>
    </row>
    <row r="547" spans="1:9" x14ac:dyDescent="0.25">
      <c r="A547" t="s">
        <v>2582</v>
      </c>
      <c r="B547" t="s">
        <v>91</v>
      </c>
      <c r="C547" t="s">
        <v>106</v>
      </c>
      <c r="D547" t="s">
        <v>248</v>
      </c>
      <c r="E547" t="s">
        <v>566</v>
      </c>
      <c r="F547" t="s">
        <v>1506</v>
      </c>
      <c r="G547" t="s">
        <v>1507</v>
      </c>
      <c r="H547" t="s">
        <v>1712</v>
      </c>
      <c r="I547" t="s">
        <v>1713</v>
      </c>
    </row>
    <row r="548" spans="1:9" x14ac:dyDescent="0.25">
      <c r="A548" t="s">
        <v>2583</v>
      </c>
      <c r="B548" t="s">
        <v>91</v>
      </c>
      <c r="C548" t="s">
        <v>410</v>
      </c>
      <c r="D548" t="s">
        <v>1017</v>
      </c>
      <c r="E548" t="s">
        <v>1016</v>
      </c>
      <c r="F548" t="s">
        <v>1570</v>
      </c>
      <c r="G548" t="s">
        <v>1571</v>
      </c>
      <c r="H548" t="s">
        <v>1572</v>
      </c>
      <c r="I548" t="s">
        <v>1573</v>
      </c>
    </row>
    <row r="549" spans="1:9" x14ac:dyDescent="0.25">
      <c r="A549" t="s">
        <v>2584</v>
      </c>
      <c r="B549" t="s">
        <v>91</v>
      </c>
      <c r="C549" t="s">
        <v>259</v>
      </c>
      <c r="D549" t="s">
        <v>260</v>
      </c>
      <c r="E549" t="s">
        <v>953</v>
      </c>
      <c r="F549" t="s">
        <v>2237</v>
      </c>
      <c r="G549" t="s">
        <v>2238</v>
      </c>
      <c r="H549" t="s">
        <v>2239</v>
      </c>
      <c r="I549" t="s">
        <v>2240</v>
      </c>
    </row>
    <row r="550" spans="1:9" x14ac:dyDescent="0.25">
      <c r="A550" t="s">
        <v>2585</v>
      </c>
      <c r="B550" t="s">
        <v>91</v>
      </c>
      <c r="C550" t="s">
        <v>96</v>
      </c>
      <c r="D550" t="s">
        <v>97</v>
      </c>
      <c r="E550" t="s">
        <v>770</v>
      </c>
      <c r="F550" t="s">
        <v>1494</v>
      </c>
      <c r="G550" t="s">
        <v>1495</v>
      </c>
      <c r="H550" t="s">
        <v>2453</v>
      </c>
      <c r="I550" t="s">
        <v>2454</v>
      </c>
    </row>
    <row r="551" spans="1:9" x14ac:dyDescent="0.25">
      <c r="A551" t="s">
        <v>2586</v>
      </c>
      <c r="B551" t="s">
        <v>91</v>
      </c>
      <c r="C551" t="s">
        <v>937</v>
      </c>
      <c r="D551" t="s">
        <v>938</v>
      </c>
      <c r="E551" t="s">
        <v>936</v>
      </c>
      <c r="F551" t="s">
        <v>1434</v>
      </c>
      <c r="G551" t="s">
        <v>1435</v>
      </c>
      <c r="H551" t="s">
        <v>1590</v>
      </c>
      <c r="I551" t="s">
        <v>1591</v>
      </c>
    </row>
    <row r="552" spans="1:9" x14ac:dyDescent="0.25">
      <c r="A552" t="s">
        <v>2587</v>
      </c>
      <c r="B552" t="s">
        <v>91</v>
      </c>
      <c r="C552" t="s">
        <v>106</v>
      </c>
      <c r="D552" t="s">
        <v>462</v>
      </c>
      <c r="E552" t="s">
        <v>566</v>
      </c>
      <c r="F552" t="s">
        <v>1506</v>
      </c>
      <c r="G552" t="s">
        <v>1507</v>
      </c>
      <c r="H552" t="s">
        <v>1508</v>
      </c>
      <c r="I552" t="s">
        <v>1509</v>
      </c>
    </row>
    <row r="553" spans="1:9" x14ac:dyDescent="0.25">
      <c r="A553" t="s">
        <v>2588</v>
      </c>
      <c r="B553" t="s">
        <v>91</v>
      </c>
      <c r="C553" t="s">
        <v>487</v>
      </c>
      <c r="D553" t="s">
        <v>2589</v>
      </c>
      <c r="E553" t="s">
        <v>1036</v>
      </c>
      <c r="F553" t="s">
        <v>1425</v>
      </c>
      <c r="G553" t="s">
        <v>1426</v>
      </c>
      <c r="H553" t="s">
        <v>1697</v>
      </c>
      <c r="I553" t="s">
        <v>1698</v>
      </c>
    </row>
    <row r="554" spans="1:9" x14ac:dyDescent="0.25">
      <c r="A554" t="s">
        <v>2590</v>
      </c>
      <c r="B554" t="s">
        <v>91</v>
      </c>
      <c r="C554" t="s">
        <v>292</v>
      </c>
      <c r="D554" t="s">
        <v>2591</v>
      </c>
      <c r="E554" t="s">
        <v>691</v>
      </c>
      <c r="F554" t="s">
        <v>1822</v>
      </c>
      <c r="G554" t="s">
        <v>1823</v>
      </c>
      <c r="H554" t="s">
        <v>2082</v>
      </c>
      <c r="I554" t="s">
        <v>2083</v>
      </c>
    </row>
    <row r="555" spans="1:9" x14ac:dyDescent="0.25">
      <c r="A555" t="s">
        <v>2592</v>
      </c>
      <c r="B555" t="s">
        <v>91</v>
      </c>
      <c r="C555" t="s">
        <v>268</v>
      </c>
      <c r="D555" t="s">
        <v>494</v>
      </c>
      <c r="E555" t="s">
        <v>547</v>
      </c>
      <c r="F555" t="s">
        <v>1461</v>
      </c>
      <c r="G555" t="s">
        <v>1462</v>
      </c>
      <c r="H555" t="s">
        <v>1469</v>
      </c>
      <c r="I555" t="s">
        <v>1470</v>
      </c>
    </row>
    <row r="556" spans="1:9" x14ac:dyDescent="0.25">
      <c r="A556" t="s">
        <v>2593</v>
      </c>
      <c r="B556" t="s">
        <v>91</v>
      </c>
      <c r="C556" t="s">
        <v>163</v>
      </c>
      <c r="D556" t="s">
        <v>344</v>
      </c>
      <c r="E556" t="s">
        <v>560</v>
      </c>
      <c r="F556" t="s">
        <v>1353</v>
      </c>
      <c r="G556" t="s">
        <v>1354</v>
      </c>
      <c r="H556" t="s">
        <v>1540</v>
      </c>
      <c r="I556" t="s">
        <v>1541</v>
      </c>
    </row>
    <row r="557" spans="1:9" x14ac:dyDescent="0.25">
      <c r="A557" t="s">
        <v>2594</v>
      </c>
      <c r="B557" t="s">
        <v>91</v>
      </c>
      <c r="C557" t="s">
        <v>99</v>
      </c>
      <c r="D557" t="s">
        <v>100</v>
      </c>
      <c r="E557" t="s">
        <v>733</v>
      </c>
      <c r="F557" t="s">
        <v>1801</v>
      </c>
      <c r="G557" t="s">
        <v>1802</v>
      </c>
      <c r="H557" t="s">
        <v>1803</v>
      </c>
      <c r="I557" t="s">
        <v>1804</v>
      </c>
    </row>
    <row r="558" spans="1:9" x14ac:dyDescent="0.25">
      <c r="A558" t="s">
        <v>2595</v>
      </c>
      <c r="B558" t="s">
        <v>91</v>
      </c>
      <c r="C558" t="s">
        <v>163</v>
      </c>
      <c r="D558" t="s">
        <v>2596</v>
      </c>
      <c r="E558" t="s">
        <v>560</v>
      </c>
      <c r="F558" t="s">
        <v>1353</v>
      </c>
      <c r="G558" t="s">
        <v>1354</v>
      </c>
      <c r="H558" t="s">
        <v>1513</v>
      </c>
      <c r="I558" t="s">
        <v>1514</v>
      </c>
    </row>
    <row r="559" spans="1:9" x14ac:dyDescent="0.25">
      <c r="A559" t="s">
        <v>2597</v>
      </c>
      <c r="B559" t="s">
        <v>91</v>
      </c>
      <c r="C559" t="s">
        <v>1120</v>
      </c>
      <c r="D559" t="s">
        <v>2598</v>
      </c>
      <c r="E559" t="s">
        <v>1119</v>
      </c>
      <c r="F559" t="s">
        <v>1385</v>
      </c>
      <c r="G559" t="s">
        <v>1386</v>
      </c>
      <c r="H559" t="s">
        <v>1387</v>
      </c>
      <c r="I559" t="s">
        <v>1388</v>
      </c>
    </row>
    <row r="560" spans="1:9" x14ac:dyDescent="0.25">
      <c r="A560" t="s">
        <v>2599</v>
      </c>
      <c r="B560" t="s">
        <v>91</v>
      </c>
      <c r="C560" t="s">
        <v>163</v>
      </c>
      <c r="D560" t="s">
        <v>2600</v>
      </c>
      <c r="E560" t="s">
        <v>560</v>
      </c>
      <c r="F560" t="s">
        <v>1353</v>
      </c>
      <c r="G560" t="s">
        <v>1354</v>
      </c>
      <c r="H560" t="s">
        <v>1558</v>
      </c>
      <c r="I560" t="s">
        <v>1559</v>
      </c>
    </row>
    <row r="561" spans="1:9" x14ac:dyDescent="0.25">
      <c r="A561" t="s">
        <v>2601</v>
      </c>
      <c r="B561" t="s">
        <v>91</v>
      </c>
      <c r="C561" t="s">
        <v>312</v>
      </c>
      <c r="D561" t="s">
        <v>2602</v>
      </c>
      <c r="E561" t="s">
        <v>573</v>
      </c>
      <c r="F561" t="s">
        <v>1731</v>
      </c>
      <c r="G561" t="s">
        <v>1732</v>
      </c>
      <c r="H561" t="s">
        <v>1952</v>
      </c>
      <c r="I561" t="s">
        <v>1953</v>
      </c>
    </row>
    <row r="562" spans="1:9" x14ac:dyDescent="0.25">
      <c r="A562" t="s">
        <v>2603</v>
      </c>
      <c r="B562" t="s">
        <v>91</v>
      </c>
      <c r="C562" t="s">
        <v>1261</v>
      </c>
      <c r="D562" t="s">
        <v>1262</v>
      </c>
      <c r="E562" t="s">
        <v>1260</v>
      </c>
      <c r="F562" t="s">
        <v>1353</v>
      </c>
      <c r="G562" t="s">
        <v>1354</v>
      </c>
      <c r="H562" t="s">
        <v>1513</v>
      </c>
      <c r="I562" t="s">
        <v>1514</v>
      </c>
    </row>
    <row r="563" spans="1:9" x14ac:dyDescent="0.25">
      <c r="A563" t="s">
        <v>2604</v>
      </c>
      <c r="B563" t="s">
        <v>91</v>
      </c>
      <c r="C563" t="s">
        <v>223</v>
      </c>
      <c r="D563" t="s">
        <v>518</v>
      </c>
      <c r="E563" t="s">
        <v>630</v>
      </c>
      <c r="F563" t="s">
        <v>1725</v>
      </c>
      <c r="G563" t="s">
        <v>1726</v>
      </c>
      <c r="H563" t="s">
        <v>2605</v>
      </c>
      <c r="I563" t="s">
        <v>2606</v>
      </c>
    </row>
    <row r="564" spans="1:9" x14ac:dyDescent="0.25">
      <c r="A564" t="s">
        <v>2607</v>
      </c>
      <c r="B564" t="s">
        <v>91</v>
      </c>
      <c r="C564" t="s">
        <v>1070</v>
      </c>
      <c r="D564" t="s">
        <v>1071</v>
      </c>
      <c r="E564" t="s">
        <v>1069</v>
      </c>
      <c r="F564" t="s">
        <v>2516</v>
      </c>
      <c r="G564" t="s">
        <v>2517</v>
      </c>
      <c r="H564" t="s">
        <v>2518</v>
      </c>
      <c r="I564" t="s">
        <v>2519</v>
      </c>
    </row>
    <row r="565" spans="1:9" x14ac:dyDescent="0.25">
      <c r="A565" t="s">
        <v>2608</v>
      </c>
      <c r="B565" t="s">
        <v>91</v>
      </c>
      <c r="C565" t="s">
        <v>1285</v>
      </c>
      <c r="D565" t="s">
        <v>1286</v>
      </c>
      <c r="E565" t="s">
        <v>1284</v>
      </c>
      <c r="F565" t="s">
        <v>1391</v>
      </c>
      <c r="G565" t="s">
        <v>1392</v>
      </c>
      <c r="H565" t="s">
        <v>2609</v>
      </c>
      <c r="I565" t="s">
        <v>2610</v>
      </c>
    </row>
    <row r="566" spans="1:9" x14ac:dyDescent="0.25">
      <c r="A566" t="s">
        <v>2611</v>
      </c>
      <c r="B566" t="s">
        <v>91</v>
      </c>
      <c r="C566" t="s">
        <v>467</v>
      </c>
      <c r="D566" t="s">
        <v>468</v>
      </c>
      <c r="E566" t="s">
        <v>1257</v>
      </c>
      <c r="F566" t="s">
        <v>1494</v>
      </c>
      <c r="G566" t="s">
        <v>1495</v>
      </c>
      <c r="H566" t="s">
        <v>1496</v>
      </c>
      <c r="I566" t="s">
        <v>1497</v>
      </c>
    </row>
    <row r="567" spans="1:9" x14ac:dyDescent="0.25">
      <c r="A567" t="s">
        <v>2612</v>
      </c>
      <c r="B567" t="s">
        <v>91</v>
      </c>
      <c r="C567" t="s">
        <v>1248</v>
      </c>
      <c r="D567" t="s">
        <v>1249</v>
      </c>
      <c r="E567" t="s">
        <v>1247</v>
      </c>
      <c r="F567" t="s">
        <v>1650</v>
      </c>
      <c r="G567" t="s">
        <v>1651</v>
      </c>
      <c r="H567" t="s">
        <v>2613</v>
      </c>
      <c r="I567" t="s">
        <v>2614</v>
      </c>
    </row>
    <row r="568" spans="1:9" x14ac:dyDescent="0.25">
      <c r="A568" t="s">
        <v>2615</v>
      </c>
      <c r="B568" t="s">
        <v>91</v>
      </c>
      <c r="C568" t="s">
        <v>163</v>
      </c>
      <c r="D568" t="s">
        <v>2616</v>
      </c>
      <c r="E568" t="s">
        <v>560</v>
      </c>
      <c r="F568" t="s">
        <v>1353</v>
      </c>
      <c r="G568" t="s">
        <v>1354</v>
      </c>
      <c r="H568" t="s">
        <v>1381</v>
      </c>
      <c r="I568" t="s">
        <v>1382</v>
      </c>
    </row>
    <row r="569" spans="1:9" x14ac:dyDescent="0.25">
      <c r="A569" t="s">
        <v>2617</v>
      </c>
      <c r="B569" t="s">
        <v>91</v>
      </c>
      <c r="C569" t="s">
        <v>292</v>
      </c>
      <c r="D569" t="s">
        <v>293</v>
      </c>
      <c r="E569" t="s">
        <v>691</v>
      </c>
      <c r="F569" t="s">
        <v>1868</v>
      </c>
      <c r="G569" t="s">
        <v>1869</v>
      </c>
      <c r="H569" t="s">
        <v>1870</v>
      </c>
      <c r="I569" t="s">
        <v>1871</v>
      </c>
    </row>
    <row r="570" spans="1:9" x14ac:dyDescent="0.25">
      <c r="A570" t="s">
        <v>2618</v>
      </c>
      <c r="B570" t="s">
        <v>91</v>
      </c>
      <c r="C570" t="s">
        <v>1196</v>
      </c>
      <c r="D570" t="s">
        <v>1197</v>
      </c>
      <c r="E570" t="s">
        <v>1195</v>
      </c>
      <c r="F570" t="s">
        <v>1522</v>
      </c>
      <c r="G570" t="s">
        <v>1523</v>
      </c>
      <c r="H570" t="s">
        <v>1524</v>
      </c>
      <c r="I570" t="s">
        <v>1525</v>
      </c>
    </row>
    <row r="571" spans="1:9" x14ac:dyDescent="0.25">
      <c r="A571" t="s">
        <v>2619</v>
      </c>
      <c r="B571" t="s">
        <v>91</v>
      </c>
      <c r="C571" t="s">
        <v>920</v>
      </c>
      <c r="D571" t="s">
        <v>2620</v>
      </c>
      <c r="E571" t="s">
        <v>919</v>
      </c>
      <c r="F571" t="s">
        <v>1425</v>
      </c>
      <c r="G571" t="s">
        <v>1426</v>
      </c>
      <c r="H571" t="s">
        <v>1427</v>
      </c>
      <c r="I571" t="s">
        <v>1428</v>
      </c>
    </row>
    <row r="572" spans="1:9" x14ac:dyDescent="0.25">
      <c r="A572" t="s">
        <v>2621</v>
      </c>
      <c r="B572" t="s">
        <v>91</v>
      </c>
      <c r="C572" t="s">
        <v>312</v>
      </c>
      <c r="D572" t="s">
        <v>2622</v>
      </c>
      <c r="E572" t="s">
        <v>573</v>
      </c>
      <c r="F572" t="s">
        <v>1731</v>
      </c>
      <c r="G572" t="s">
        <v>1732</v>
      </c>
      <c r="H572" t="s">
        <v>1952</v>
      </c>
      <c r="I572" t="s">
        <v>1953</v>
      </c>
    </row>
    <row r="573" spans="1:9" x14ac:dyDescent="0.25">
      <c r="A573" t="s">
        <v>2623</v>
      </c>
      <c r="B573" t="s">
        <v>91</v>
      </c>
      <c r="C573" t="s">
        <v>106</v>
      </c>
      <c r="D573" t="s">
        <v>249</v>
      </c>
      <c r="E573" t="s">
        <v>566</v>
      </c>
      <c r="F573" t="s">
        <v>1506</v>
      </c>
      <c r="G573" t="s">
        <v>1507</v>
      </c>
      <c r="H573" t="s">
        <v>1508</v>
      </c>
      <c r="I573" t="s">
        <v>1509</v>
      </c>
    </row>
    <row r="574" spans="1:9" x14ac:dyDescent="0.25">
      <c r="A574" t="s">
        <v>2624</v>
      </c>
      <c r="B574" t="s">
        <v>91</v>
      </c>
      <c r="C574" t="s">
        <v>451</v>
      </c>
      <c r="D574" t="s">
        <v>2625</v>
      </c>
      <c r="E574" t="s">
        <v>872</v>
      </c>
      <c r="F574" t="s">
        <v>1755</v>
      </c>
      <c r="G574" t="s">
        <v>1756</v>
      </c>
      <c r="H574" t="s">
        <v>1757</v>
      </c>
      <c r="I574" t="s">
        <v>1758</v>
      </c>
    </row>
    <row r="575" spans="1:9" x14ac:dyDescent="0.25">
      <c r="A575" t="s">
        <v>2626</v>
      </c>
      <c r="B575" t="s">
        <v>91</v>
      </c>
      <c r="C575" t="s">
        <v>195</v>
      </c>
      <c r="D575" t="s">
        <v>196</v>
      </c>
      <c r="E575" t="s">
        <v>961</v>
      </c>
      <c r="F575" t="s">
        <v>1868</v>
      </c>
      <c r="G575" t="s">
        <v>1869</v>
      </c>
      <c r="H575" t="s">
        <v>1870</v>
      </c>
      <c r="I575" t="s">
        <v>1871</v>
      </c>
    </row>
    <row r="576" spans="1:9" x14ac:dyDescent="0.25">
      <c r="A576" t="s">
        <v>2627</v>
      </c>
      <c r="B576" t="s">
        <v>91</v>
      </c>
      <c r="C576" t="s">
        <v>1120</v>
      </c>
      <c r="D576" t="s">
        <v>1121</v>
      </c>
      <c r="E576" t="s">
        <v>1119</v>
      </c>
      <c r="F576" t="s">
        <v>1385</v>
      </c>
      <c r="G576" t="s">
        <v>1386</v>
      </c>
      <c r="H576" t="s">
        <v>1387</v>
      </c>
      <c r="I576" t="s">
        <v>1388</v>
      </c>
    </row>
    <row r="577" spans="1:9" x14ac:dyDescent="0.25">
      <c r="A577" t="s">
        <v>2628</v>
      </c>
      <c r="B577" t="s">
        <v>91</v>
      </c>
      <c r="C577" t="s">
        <v>443</v>
      </c>
      <c r="D577" t="s">
        <v>444</v>
      </c>
      <c r="E577" t="s">
        <v>780</v>
      </c>
      <c r="F577" t="s">
        <v>1517</v>
      </c>
      <c r="G577" t="s">
        <v>1518</v>
      </c>
      <c r="H577" t="s">
        <v>1519</v>
      </c>
      <c r="I577" t="s">
        <v>1520</v>
      </c>
    </row>
    <row r="578" spans="1:9" x14ac:dyDescent="0.25">
      <c r="A578" t="s">
        <v>2629</v>
      </c>
      <c r="B578" t="s">
        <v>91</v>
      </c>
      <c r="C578" t="s">
        <v>1280</v>
      </c>
      <c r="D578" t="s">
        <v>1281</v>
      </c>
      <c r="E578" t="s">
        <v>1279</v>
      </c>
      <c r="F578" t="s">
        <v>1506</v>
      </c>
      <c r="G578" t="s">
        <v>1507</v>
      </c>
      <c r="H578" t="s">
        <v>1508</v>
      </c>
      <c r="I578" t="s">
        <v>1509</v>
      </c>
    </row>
    <row r="579" spans="1:9" x14ac:dyDescent="0.25">
      <c r="A579" t="s">
        <v>2630</v>
      </c>
      <c r="B579" t="s">
        <v>91</v>
      </c>
      <c r="C579" t="s">
        <v>163</v>
      </c>
      <c r="D579" t="s">
        <v>183</v>
      </c>
      <c r="E579" t="s">
        <v>560</v>
      </c>
      <c r="F579" t="s">
        <v>1353</v>
      </c>
      <c r="G579" t="s">
        <v>1354</v>
      </c>
      <c r="H579" t="s">
        <v>1355</v>
      </c>
      <c r="I579" t="s">
        <v>1356</v>
      </c>
    </row>
    <row r="580" spans="1:9" x14ac:dyDescent="0.25">
      <c r="A580" t="s">
        <v>2631</v>
      </c>
      <c r="B580" t="s">
        <v>91</v>
      </c>
      <c r="C580" t="s">
        <v>974</v>
      </c>
      <c r="D580" t="s">
        <v>2632</v>
      </c>
      <c r="E580" t="s">
        <v>973</v>
      </c>
      <c r="F580" t="s">
        <v>1594</v>
      </c>
      <c r="G580" t="s">
        <v>1595</v>
      </c>
      <c r="H580" t="s">
        <v>1596</v>
      </c>
      <c r="I580" t="s">
        <v>1597</v>
      </c>
    </row>
    <row r="581" spans="1:9" x14ac:dyDescent="0.25">
      <c r="A581" t="s">
        <v>2633</v>
      </c>
      <c r="B581" t="s">
        <v>91</v>
      </c>
      <c r="C581" t="s">
        <v>220</v>
      </c>
      <c r="D581" t="s">
        <v>2634</v>
      </c>
      <c r="E581" t="s">
        <v>754</v>
      </c>
      <c r="F581" t="s">
        <v>1676</v>
      </c>
      <c r="G581" t="s">
        <v>1677</v>
      </c>
      <c r="H581" t="s">
        <v>1678</v>
      </c>
      <c r="I581" t="s">
        <v>1679</v>
      </c>
    </row>
    <row r="582" spans="1:9" x14ac:dyDescent="0.25">
      <c r="A582" t="s">
        <v>2635</v>
      </c>
      <c r="B582" t="s">
        <v>91</v>
      </c>
      <c r="C582" t="s">
        <v>175</v>
      </c>
      <c r="D582" t="s">
        <v>215</v>
      </c>
      <c r="E582" t="s">
        <v>729</v>
      </c>
      <c r="F582" t="s">
        <v>1450</v>
      </c>
      <c r="G582" t="s">
        <v>1451</v>
      </c>
      <c r="H582" t="s">
        <v>1622</v>
      </c>
      <c r="I582" t="s">
        <v>1437</v>
      </c>
    </row>
    <row r="583" spans="1:9" x14ac:dyDescent="0.25">
      <c r="A583" t="s">
        <v>2636</v>
      </c>
      <c r="B583" t="s">
        <v>91</v>
      </c>
      <c r="C583" t="s">
        <v>163</v>
      </c>
      <c r="D583" t="s">
        <v>184</v>
      </c>
      <c r="E583" t="s">
        <v>560</v>
      </c>
      <c r="F583" t="s">
        <v>1353</v>
      </c>
      <c r="G583" t="s">
        <v>1354</v>
      </c>
      <c r="H583" t="s">
        <v>1558</v>
      </c>
      <c r="I583" t="s">
        <v>1559</v>
      </c>
    </row>
    <row r="584" spans="1:9" x14ac:dyDescent="0.25">
      <c r="A584" t="s">
        <v>2637</v>
      </c>
      <c r="B584" t="s">
        <v>91</v>
      </c>
      <c r="C584" t="s">
        <v>920</v>
      </c>
      <c r="D584" t="s">
        <v>921</v>
      </c>
      <c r="E584" t="s">
        <v>919</v>
      </c>
      <c r="F584" t="s">
        <v>1425</v>
      </c>
      <c r="G584" t="s">
        <v>1426</v>
      </c>
      <c r="H584" t="s">
        <v>1427</v>
      </c>
      <c r="I584" t="s">
        <v>1428</v>
      </c>
    </row>
    <row r="585" spans="1:9" x14ac:dyDescent="0.25">
      <c r="A585" t="s">
        <v>2638</v>
      </c>
      <c r="B585" t="s">
        <v>91</v>
      </c>
      <c r="C585" t="s">
        <v>910</v>
      </c>
      <c r="D585" t="s">
        <v>911</v>
      </c>
      <c r="E585" t="s">
        <v>909</v>
      </c>
      <c r="F585" t="s">
        <v>1506</v>
      </c>
      <c r="G585" t="s">
        <v>1507</v>
      </c>
      <c r="H585" t="s">
        <v>1712</v>
      </c>
      <c r="I585" t="s">
        <v>1713</v>
      </c>
    </row>
    <row r="586" spans="1:9" x14ac:dyDescent="0.25">
      <c r="A586" t="s">
        <v>2639</v>
      </c>
      <c r="B586" t="s">
        <v>91</v>
      </c>
      <c r="C586" t="s">
        <v>487</v>
      </c>
      <c r="D586" t="s">
        <v>488</v>
      </c>
      <c r="E586" t="s">
        <v>1036</v>
      </c>
      <c r="F586" t="s">
        <v>1425</v>
      </c>
      <c r="G586" t="s">
        <v>1426</v>
      </c>
      <c r="H586" t="s">
        <v>1697</v>
      </c>
      <c r="I586" t="s">
        <v>1698</v>
      </c>
    </row>
    <row r="587" spans="1:9" x14ac:dyDescent="0.25">
      <c r="A587" t="s">
        <v>2640</v>
      </c>
      <c r="B587" t="s">
        <v>91</v>
      </c>
      <c r="C587" t="s">
        <v>163</v>
      </c>
      <c r="D587" t="s">
        <v>520</v>
      </c>
      <c r="E587" t="s">
        <v>560</v>
      </c>
      <c r="F587" t="s">
        <v>1353</v>
      </c>
      <c r="G587" t="s">
        <v>1354</v>
      </c>
      <c r="H587" t="s">
        <v>1513</v>
      </c>
      <c r="I587" t="s">
        <v>1514</v>
      </c>
    </row>
    <row r="588" spans="1:9" x14ac:dyDescent="0.25">
      <c r="A588" t="s">
        <v>2641</v>
      </c>
      <c r="B588" t="s">
        <v>91</v>
      </c>
      <c r="C588" t="s">
        <v>122</v>
      </c>
      <c r="D588" t="s">
        <v>130</v>
      </c>
      <c r="E588" t="s">
        <v>537</v>
      </c>
      <c r="F588" t="s">
        <v>1450</v>
      </c>
      <c r="G588" t="s">
        <v>1451</v>
      </c>
      <c r="H588" t="s">
        <v>1452</v>
      </c>
      <c r="I588" t="s">
        <v>1453</v>
      </c>
    </row>
    <row r="589" spans="1:9" x14ac:dyDescent="0.25">
      <c r="A589" t="s">
        <v>2642</v>
      </c>
      <c r="B589" t="s">
        <v>91</v>
      </c>
      <c r="C589" t="s">
        <v>238</v>
      </c>
      <c r="D589" t="s">
        <v>240</v>
      </c>
      <c r="E589" t="s">
        <v>964</v>
      </c>
      <c r="F589" t="s">
        <v>1707</v>
      </c>
      <c r="G589" t="s">
        <v>1708</v>
      </c>
      <c r="H589" t="s">
        <v>1709</v>
      </c>
      <c r="I589" t="s">
        <v>1710</v>
      </c>
    </row>
    <row r="590" spans="1:9" x14ac:dyDescent="0.25">
      <c r="A590" t="s">
        <v>2643</v>
      </c>
      <c r="B590" t="s">
        <v>91</v>
      </c>
      <c r="C590" t="s">
        <v>163</v>
      </c>
      <c r="D590" t="s">
        <v>2644</v>
      </c>
      <c r="E590" t="s">
        <v>560</v>
      </c>
      <c r="F590" t="s">
        <v>1353</v>
      </c>
      <c r="G590" t="s">
        <v>1354</v>
      </c>
      <c r="H590" t="s">
        <v>1355</v>
      </c>
      <c r="I590" t="s">
        <v>1356</v>
      </c>
    </row>
    <row r="591" spans="1:9" x14ac:dyDescent="0.25">
      <c r="A591" t="s">
        <v>2645</v>
      </c>
      <c r="B591" t="s">
        <v>91</v>
      </c>
      <c r="C591" t="s">
        <v>163</v>
      </c>
      <c r="D591" t="s">
        <v>2646</v>
      </c>
      <c r="E591" t="s">
        <v>560</v>
      </c>
      <c r="F591" t="s">
        <v>1353</v>
      </c>
      <c r="G591" t="s">
        <v>1354</v>
      </c>
      <c r="H591" t="s">
        <v>1355</v>
      </c>
      <c r="I591" t="s">
        <v>1356</v>
      </c>
    </row>
    <row r="592" spans="1:9" x14ac:dyDescent="0.25">
      <c r="A592" t="s">
        <v>2647</v>
      </c>
      <c r="B592" t="s">
        <v>91</v>
      </c>
      <c r="C592" t="s">
        <v>942</v>
      </c>
      <c r="D592" t="s">
        <v>2648</v>
      </c>
      <c r="E592" t="s">
        <v>941</v>
      </c>
      <c r="F592" t="s">
        <v>1761</v>
      </c>
      <c r="G592" t="s">
        <v>1762</v>
      </c>
      <c r="H592" t="s">
        <v>2371</v>
      </c>
      <c r="I592" t="s">
        <v>2372</v>
      </c>
    </row>
    <row r="593" spans="1:9" x14ac:dyDescent="0.25">
      <c r="A593" t="s">
        <v>2649</v>
      </c>
      <c r="B593" t="s">
        <v>91</v>
      </c>
      <c r="C593" t="s">
        <v>487</v>
      </c>
      <c r="D593" t="s">
        <v>2650</v>
      </c>
      <c r="E593" t="s">
        <v>1036</v>
      </c>
      <c r="F593" t="s">
        <v>1425</v>
      </c>
      <c r="G593" t="s">
        <v>1426</v>
      </c>
      <c r="H593" t="s">
        <v>1697</v>
      </c>
      <c r="I593" t="s">
        <v>1698</v>
      </c>
    </row>
    <row r="594" spans="1:9" x14ac:dyDescent="0.25">
      <c r="A594" t="s">
        <v>2651</v>
      </c>
      <c r="B594" t="s">
        <v>91</v>
      </c>
      <c r="C594" t="s">
        <v>300</v>
      </c>
      <c r="D594" t="s">
        <v>302</v>
      </c>
      <c r="E594" t="s">
        <v>1116</v>
      </c>
      <c r="F594" t="s">
        <v>1731</v>
      </c>
      <c r="G594" t="s">
        <v>1732</v>
      </c>
      <c r="H594" t="s">
        <v>2134</v>
      </c>
      <c r="I594" t="s">
        <v>2135</v>
      </c>
    </row>
    <row r="595" spans="1:9" x14ac:dyDescent="0.25">
      <c r="A595" t="s">
        <v>2652</v>
      </c>
      <c r="B595" t="s">
        <v>91</v>
      </c>
      <c r="C595" t="s">
        <v>312</v>
      </c>
      <c r="D595" t="s">
        <v>463</v>
      </c>
      <c r="E595" t="s">
        <v>573</v>
      </c>
      <c r="F595" t="s">
        <v>1731</v>
      </c>
      <c r="G595" t="s">
        <v>1732</v>
      </c>
      <c r="H595" t="s">
        <v>1952</v>
      </c>
      <c r="I595" t="s">
        <v>1953</v>
      </c>
    </row>
    <row r="596" spans="1:9" x14ac:dyDescent="0.25">
      <c r="A596" t="s">
        <v>2653</v>
      </c>
      <c r="B596" t="s">
        <v>91</v>
      </c>
      <c r="C596" t="s">
        <v>974</v>
      </c>
      <c r="D596" t="s">
        <v>2654</v>
      </c>
      <c r="E596" t="s">
        <v>973</v>
      </c>
      <c r="F596" t="s">
        <v>1594</v>
      </c>
      <c r="G596" t="s">
        <v>1595</v>
      </c>
      <c r="H596" t="s">
        <v>1596</v>
      </c>
      <c r="I596" t="s">
        <v>1597</v>
      </c>
    </row>
    <row r="597" spans="1:9" x14ac:dyDescent="0.25">
      <c r="A597" t="s">
        <v>2655</v>
      </c>
      <c r="B597" t="s">
        <v>91</v>
      </c>
      <c r="C597" t="s">
        <v>341</v>
      </c>
      <c r="D597" t="s">
        <v>2656</v>
      </c>
      <c r="E597" t="s">
        <v>600</v>
      </c>
      <c r="F597" t="s">
        <v>1370</v>
      </c>
      <c r="G597" t="s">
        <v>1371</v>
      </c>
      <c r="H597" t="s">
        <v>1372</v>
      </c>
      <c r="I597" t="s">
        <v>1373</v>
      </c>
    </row>
    <row r="598" spans="1:9" x14ac:dyDescent="0.25">
      <c r="A598" t="s">
        <v>2657</v>
      </c>
      <c r="B598" t="s">
        <v>91</v>
      </c>
      <c r="C598" t="s">
        <v>106</v>
      </c>
      <c r="D598" t="s">
        <v>2658</v>
      </c>
      <c r="E598" t="s">
        <v>566</v>
      </c>
      <c r="F598" t="s">
        <v>1506</v>
      </c>
      <c r="G598" t="s">
        <v>1507</v>
      </c>
      <c r="H598" t="s">
        <v>1958</v>
      </c>
      <c r="I598" t="s">
        <v>1959</v>
      </c>
    </row>
    <row r="599" spans="1:9" x14ac:dyDescent="0.25">
      <c r="A599" t="s">
        <v>2659</v>
      </c>
      <c r="B599" t="s">
        <v>91</v>
      </c>
      <c r="C599" t="s">
        <v>379</v>
      </c>
      <c r="D599" t="s">
        <v>2660</v>
      </c>
      <c r="E599" t="s">
        <v>773</v>
      </c>
      <c r="F599" t="s">
        <v>1385</v>
      </c>
      <c r="G599" t="s">
        <v>1386</v>
      </c>
      <c r="H599" t="s">
        <v>1387</v>
      </c>
      <c r="I599" t="s">
        <v>1388</v>
      </c>
    </row>
    <row r="600" spans="1:9" x14ac:dyDescent="0.25">
      <c r="A600" t="s">
        <v>2661</v>
      </c>
      <c r="B600" t="s">
        <v>91</v>
      </c>
      <c r="C600" t="s">
        <v>487</v>
      </c>
      <c r="D600" t="s">
        <v>2662</v>
      </c>
      <c r="E600" t="s">
        <v>1036</v>
      </c>
      <c r="F600" t="s">
        <v>1425</v>
      </c>
      <c r="G600" t="s">
        <v>1426</v>
      </c>
      <c r="H600" t="s">
        <v>1697</v>
      </c>
      <c r="I600" t="s">
        <v>1698</v>
      </c>
    </row>
    <row r="601" spans="1:9" x14ac:dyDescent="0.25">
      <c r="A601" t="s">
        <v>2663</v>
      </c>
      <c r="B601" t="s">
        <v>91</v>
      </c>
      <c r="C601" t="s">
        <v>185</v>
      </c>
      <c r="D601" t="s">
        <v>186</v>
      </c>
      <c r="E601" t="s">
        <v>1092</v>
      </c>
      <c r="F601" t="s">
        <v>2020</v>
      </c>
      <c r="G601" t="s">
        <v>2021</v>
      </c>
      <c r="H601" t="s">
        <v>2053</v>
      </c>
      <c r="I601" t="s">
        <v>2054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workbookViewId="0"/>
  </sheetViews>
  <sheetFormatPr defaultRowHeight="15" x14ac:dyDescent="0.25"/>
  <cols>
    <col min="1" max="1" width="9.42578125" customWidth="1"/>
    <col min="2" max="2" width="10.7109375" customWidth="1"/>
    <col min="3" max="3" width="17" customWidth="1"/>
  </cols>
  <sheetData>
    <row r="1" spans="1:3" x14ac:dyDescent="0.25">
      <c r="A1" s="2" t="s">
        <v>13</v>
      </c>
      <c r="B1" s="2" t="s">
        <v>82</v>
      </c>
      <c r="C1" s="2" t="s">
        <v>47</v>
      </c>
    </row>
    <row r="2" spans="1:3" x14ac:dyDescent="0.25">
      <c r="A2" s="3">
        <v>1740</v>
      </c>
      <c r="C2" s="3">
        <v>261707</v>
      </c>
    </row>
    <row r="3" spans="1:3" x14ac:dyDescent="0.25">
      <c r="A3" s="3">
        <v>1740</v>
      </c>
      <c r="B3" t="s">
        <v>91</v>
      </c>
      <c r="C3" s="3">
        <v>261707</v>
      </c>
    </row>
    <row r="4" spans="1:3" x14ac:dyDescent="0.25">
      <c r="A4" s="3">
        <v>1741</v>
      </c>
      <c r="C4" s="3">
        <v>255562</v>
      </c>
    </row>
    <row r="5" spans="1:3" x14ac:dyDescent="0.25">
      <c r="A5" s="3">
        <v>1741</v>
      </c>
      <c r="B5" t="s">
        <v>91</v>
      </c>
      <c r="C5" s="3">
        <v>255562</v>
      </c>
    </row>
    <row r="6" spans="1:3" x14ac:dyDescent="0.25">
      <c r="A6" s="3">
        <v>1742</v>
      </c>
      <c r="C6" s="3">
        <v>255564</v>
      </c>
    </row>
    <row r="7" spans="1:3" x14ac:dyDescent="0.25">
      <c r="A7" s="3">
        <v>1742</v>
      </c>
      <c r="B7" t="s">
        <v>91</v>
      </c>
      <c r="C7" s="3">
        <v>255564</v>
      </c>
    </row>
    <row r="8" spans="1:3" x14ac:dyDescent="0.25">
      <c r="A8" s="3">
        <v>1743</v>
      </c>
      <c r="C8" s="3">
        <v>253008</v>
      </c>
    </row>
    <row r="9" spans="1:3" x14ac:dyDescent="0.25">
      <c r="A9" s="3">
        <v>1743</v>
      </c>
      <c r="B9" t="s">
        <v>91</v>
      </c>
      <c r="C9" s="3">
        <v>253008</v>
      </c>
    </row>
    <row r="10" spans="1:3" x14ac:dyDescent="0.25">
      <c r="A10" s="3">
        <v>1744</v>
      </c>
      <c r="C10" s="3">
        <v>989831</v>
      </c>
    </row>
    <row r="11" spans="1:3" x14ac:dyDescent="0.25">
      <c r="A11" s="3">
        <v>1744</v>
      </c>
      <c r="B11" t="s">
        <v>91</v>
      </c>
      <c r="C11" s="3">
        <v>989831</v>
      </c>
    </row>
    <row r="12" spans="1:3" x14ac:dyDescent="0.25">
      <c r="A12" s="3">
        <v>1745</v>
      </c>
      <c r="B12" t="s">
        <v>91</v>
      </c>
      <c r="C12" s="3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"/>
  <sheetViews>
    <sheetView workbookViewId="0"/>
  </sheetViews>
  <sheetFormatPr defaultRowHeight="15" x14ac:dyDescent="0.25"/>
  <cols>
    <col min="1" max="2" width="10.7109375" customWidth="1"/>
    <col min="3" max="3" width="17" customWidth="1"/>
  </cols>
  <sheetData>
    <row r="1" spans="1:3" x14ac:dyDescent="0.25">
      <c r="A1" s="2" t="s">
        <v>81</v>
      </c>
      <c r="B1" s="2" t="s">
        <v>82</v>
      </c>
      <c r="C1" s="2" t="s">
        <v>47</v>
      </c>
    </row>
    <row r="2" spans="1:3" x14ac:dyDescent="0.25">
      <c r="A2" s="3">
        <v>1</v>
      </c>
      <c r="C2" s="3">
        <v>2015672</v>
      </c>
    </row>
    <row r="3" spans="1:3" x14ac:dyDescent="0.25">
      <c r="A3" s="3">
        <v>2</v>
      </c>
      <c r="C3" s="3">
        <v>2015672</v>
      </c>
    </row>
    <row r="4" spans="1:3" x14ac:dyDescent="0.25">
      <c r="A4" s="3">
        <v>1</v>
      </c>
      <c r="B4" t="s">
        <v>91</v>
      </c>
      <c r="C4" s="3">
        <v>27</v>
      </c>
    </row>
    <row r="5" spans="1:3" x14ac:dyDescent="0.25">
      <c r="A5" s="3">
        <v>2</v>
      </c>
      <c r="B5" t="s">
        <v>91</v>
      </c>
      <c r="C5" s="3">
        <v>27</v>
      </c>
    </row>
    <row r="6" spans="1:3" x14ac:dyDescent="0.25">
      <c r="A6" s="3">
        <v>3</v>
      </c>
      <c r="B6" t="s">
        <v>91</v>
      </c>
      <c r="C6" s="3">
        <v>2015699</v>
      </c>
    </row>
    <row r="7" spans="1:3" x14ac:dyDescent="0.25">
      <c r="A7" s="3">
        <v>4</v>
      </c>
      <c r="B7" t="s">
        <v>91</v>
      </c>
      <c r="C7" s="3">
        <v>2015699</v>
      </c>
    </row>
    <row r="8" spans="1:3" x14ac:dyDescent="0.25">
      <c r="A8" s="3">
        <v>5</v>
      </c>
      <c r="B8" t="s">
        <v>91</v>
      </c>
      <c r="C8" s="3">
        <v>2015699</v>
      </c>
    </row>
    <row r="9" spans="1:3" x14ac:dyDescent="0.25">
      <c r="A9" s="3">
        <v>6</v>
      </c>
      <c r="B9" t="s">
        <v>91</v>
      </c>
      <c r="C9" s="3">
        <v>2015699</v>
      </c>
    </row>
    <row r="10" spans="1:3" x14ac:dyDescent="0.25">
      <c r="A10" s="3">
        <v>7</v>
      </c>
      <c r="B10" t="s">
        <v>91</v>
      </c>
      <c r="C10" s="3">
        <v>2015699</v>
      </c>
    </row>
    <row r="11" spans="1:3" x14ac:dyDescent="0.25">
      <c r="A11" s="3">
        <v>8</v>
      </c>
      <c r="B11" t="s">
        <v>91</v>
      </c>
      <c r="C11" s="3">
        <v>2015699</v>
      </c>
    </row>
    <row r="12" spans="1:3" x14ac:dyDescent="0.25">
      <c r="A12" s="3">
        <v>9</v>
      </c>
      <c r="B12" t="s">
        <v>91</v>
      </c>
      <c r="C12" s="3">
        <v>2015699</v>
      </c>
    </row>
    <row r="13" spans="1:3" x14ac:dyDescent="0.25">
      <c r="A13" s="3">
        <v>10</v>
      </c>
      <c r="B13" t="s">
        <v>91</v>
      </c>
      <c r="C13" s="3">
        <v>2015699</v>
      </c>
    </row>
    <row r="14" spans="1:3" x14ac:dyDescent="0.25">
      <c r="A14" s="3">
        <v>11</v>
      </c>
      <c r="B14" t="s">
        <v>91</v>
      </c>
      <c r="C14" s="3">
        <v>2015699</v>
      </c>
    </row>
    <row r="15" spans="1:3" x14ac:dyDescent="0.25">
      <c r="A15" s="3">
        <v>12</v>
      </c>
      <c r="B15" t="s">
        <v>91</v>
      </c>
      <c r="C15" s="3">
        <v>2015699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3" max="3" width="9.140625" style="3"/>
    <col min="4" max="4" width="9.140625" style="5"/>
    <col min="5" max="5" width="9.140625" style="4"/>
    <col min="7" max="7" width="9.140625" style="4"/>
    <col min="8" max="8" width="9.140625" style="5"/>
    <col min="12" max="12" width="9.140625" style="5"/>
    <col min="16" max="16" width="9.140625" style="5"/>
    <col min="20" max="20" width="9.140625" style="5"/>
    <col min="21" max="23" width="9.140625" style="4"/>
  </cols>
  <sheetData>
    <row r="1" spans="1:23" x14ac:dyDescent="0.25">
      <c r="A1" s="7"/>
      <c r="B1" s="7"/>
      <c r="C1" s="7"/>
      <c r="D1" s="16" t="s">
        <v>2664</v>
      </c>
      <c r="E1" s="16"/>
      <c r="F1" s="16"/>
      <c r="G1" s="16"/>
      <c r="H1" s="16" t="s">
        <v>2665</v>
      </c>
      <c r="I1" s="16"/>
      <c r="J1" s="16"/>
      <c r="K1" s="16"/>
      <c r="L1" s="16" t="s">
        <v>2666</v>
      </c>
      <c r="M1" s="16"/>
      <c r="N1" s="16"/>
      <c r="O1" s="16"/>
      <c r="P1" s="16" t="s">
        <v>2667</v>
      </c>
      <c r="Q1" s="16"/>
      <c r="R1" s="16"/>
      <c r="S1" s="16"/>
      <c r="T1" s="16" t="s">
        <v>2668</v>
      </c>
      <c r="U1" s="16"/>
      <c r="V1" s="16"/>
      <c r="W1" s="16"/>
    </row>
    <row r="2" spans="1:23" ht="30" x14ac:dyDescent="0.25">
      <c r="A2" s="9" t="s">
        <v>13</v>
      </c>
      <c r="B2" s="9" t="s">
        <v>14</v>
      </c>
      <c r="C2" s="9" t="s">
        <v>47</v>
      </c>
      <c r="D2" s="10" t="s">
        <v>48</v>
      </c>
      <c r="E2" s="9" t="s">
        <v>49</v>
      </c>
      <c r="F2" s="9" t="s">
        <v>50</v>
      </c>
      <c r="G2" s="9" t="s">
        <v>51</v>
      </c>
      <c r="H2" s="10" t="s">
        <v>48</v>
      </c>
      <c r="I2" s="9" t="s">
        <v>49</v>
      </c>
      <c r="J2" s="9" t="s">
        <v>50</v>
      </c>
      <c r="K2" s="9" t="s">
        <v>51</v>
      </c>
      <c r="L2" s="10" t="s">
        <v>48</v>
      </c>
      <c r="M2" s="9" t="s">
        <v>49</v>
      </c>
      <c r="N2" s="9" t="s">
        <v>50</v>
      </c>
      <c r="O2" s="9" t="s">
        <v>51</v>
      </c>
      <c r="P2" s="10" t="s">
        <v>48</v>
      </c>
      <c r="Q2" s="9" t="s">
        <v>49</v>
      </c>
      <c r="R2" s="9" t="s">
        <v>50</v>
      </c>
      <c r="S2" s="9" t="s">
        <v>51</v>
      </c>
      <c r="T2" s="10" t="s">
        <v>48</v>
      </c>
      <c r="U2" s="9" t="s">
        <v>49</v>
      </c>
      <c r="V2" s="9" t="s">
        <v>50</v>
      </c>
      <c r="W2" s="9" t="s">
        <v>51</v>
      </c>
    </row>
    <row r="3" spans="1:23" x14ac:dyDescent="0.25">
      <c r="A3" t="s">
        <v>28</v>
      </c>
      <c r="B3" t="s">
        <v>29</v>
      </c>
      <c r="C3" s="3">
        <v>261707</v>
      </c>
      <c r="D3" s="5">
        <v>0</v>
      </c>
      <c r="E3" s="4">
        <v>0</v>
      </c>
      <c r="F3" t="s">
        <v>2669</v>
      </c>
      <c r="G3" s="4">
        <v>60</v>
      </c>
      <c r="H3" s="5">
        <v>0</v>
      </c>
      <c r="I3" t="s">
        <v>2670</v>
      </c>
      <c r="J3" t="s">
        <v>2671</v>
      </c>
      <c r="K3" t="s">
        <v>2672</v>
      </c>
      <c r="L3" s="5">
        <v>1</v>
      </c>
      <c r="M3" t="s">
        <v>2673</v>
      </c>
      <c r="N3" t="s">
        <v>2674</v>
      </c>
      <c r="O3" t="s">
        <v>2675</v>
      </c>
      <c r="P3" s="5">
        <v>6</v>
      </c>
      <c r="Q3" t="s">
        <v>2676</v>
      </c>
      <c r="R3" t="s">
        <v>2677</v>
      </c>
      <c r="S3" t="s">
        <v>2678</v>
      </c>
      <c r="T3" s="5">
        <v>0</v>
      </c>
      <c r="U3" s="4">
        <v>65</v>
      </c>
      <c r="V3" s="4">
        <v>2552.0357613667188</v>
      </c>
      <c r="W3" s="4">
        <v>11744.820000000011</v>
      </c>
    </row>
    <row r="4" spans="1:23" x14ac:dyDescent="0.25">
      <c r="A4" t="s">
        <v>30</v>
      </c>
      <c r="B4" t="s">
        <v>31</v>
      </c>
      <c r="C4" s="3">
        <v>255562</v>
      </c>
      <c r="D4" s="5">
        <v>0</v>
      </c>
      <c r="E4" s="4">
        <v>0</v>
      </c>
      <c r="F4" t="s">
        <v>2679</v>
      </c>
      <c r="G4" s="4">
        <v>60</v>
      </c>
      <c r="H4" s="5">
        <v>0</v>
      </c>
      <c r="I4" t="s">
        <v>2680</v>
      </c>
      <c r="J4" t="s">
        <v>2681</v>
      </c>
      <c r="K4" t="s">
        <v>2682</v>
      </c>
      <c r="L4" s="5">
        <v>1</v>
      </c>
      <c r="M4" t="s">
        <v>2673</v>
      </c>
      <c r="N4" t="s">
        <v>2683</v>
      </c>
      <c r="O4" t="s">
        <v>2684</v>
      </c>
      <c r="P4" s="5">
        <v>3</v>
      </c>
      <c r="Q4" t="s">
        <v>2685</v>
      </c>
      <c r="R4" t="s">
        <v>2686</v>
      </c>
      <c r="S4" t="s">
        <v>2678</v>
      </c>
      <c r="T4" s="5">
        <v>0</v>
      </c>
      <c r="U4" s="4">
        <v>66</v>
      </c>
      <c r="V4" s="4">
        <v>2548.6837244973822</v>
      </c>
      <c r="W4" s="4">
        <v>11690.389999999979</v>
      </c>
    </row>
    <row r="5" spans="1:23" x14ac:dyDescent="0.25">
      <c r="A5" t="s">
        <v>32</v>
      </c>
      <c r="B5" t="s">
        <v>33</v>
      </c>
      <c r="C5" s="3">
        <v>255564</v>
      </c>
      <c r="D5" s="5">
        <v>0</v>
      </c>
      <c r="E5" s="4">
        <v>0</v>
      </c>
      <c r="F5" t="s">
        <v>2687</v>
      </c>
      <c r="G5" s="4">
        <v>60</v>
      </c>
      <c r="H5" s="5">
        <v>0</v>
      </c>
      <c r="I5" t="s">
        <v>2688</v>
      </c>
      <c r="J5" t="s">
        <v>2689</v>
      </c>
      <c r="K5" t="s">
        <v>2682</v>
      </c>
      <c r="L5" s="5">
        <v>0</v>
      </c>
      <c r="M5" t="s">
        <v>2673</v>
      </c>
      <c r="N5" t="s">
        <v>2690</v>
      </c>
      <c r="O5" t="s">
        <v>2675</v>
      </c>
      <c r="P5" s="5">
        <v>4</v>
      </c>
      <c r="Q5" t="s">
        <v>2691</v>
      </c>
      <c r="R5" t="s">
        <v>2677</v>
      </c>
      <c r="S5" t="s">
        <v>2692</v>
      </c>
      <c r="T5" s="5">
        <v>0</v>
      </c>
      <c r="U5" s="4">
        <v>66</v>
      </c>
      <c r="V5" s="4">
        <v>2550.8887010690082</v>
      </c>
      <c r="W5" s="4">
        <v>11670.37</v>
      </c>
    </row>
    <row r="6" spans="1:23" x14ac:dyDescent="0.25">
      <c r="A6" t="s">
        <v>34</v>
      </c>
      <c r="B6" t="s">
        <v>35</v>
      </c>
      <c r="C6" s="3">
        <v>253008</v>
      </c>
      <c r="D6" s="5">
        <v>1</v>
      </c>
      <c r="E6" s="4">
        <v>0</v>
      </c>
      <c r="F6" t="s">
        <v>2693</v>
      </c>
      <c r="G6" s="4">
        <v>60</v>
      </c>
      <c r="H6" s="5">
        <v>1</v>
      </c>
      <c r="I6" t="s">
        <v>2694</v>
      </c>
      <c r="J6" t="s">
        <v>2695</v>
      </c>
      <c r="K6" t="s">
        <v>2672</v>
      </c>
      <c r="L6" s="5">
        <v>3</v>
      </c>
      <c r="M6" t="s">
        <v>2673</v>
      </c>
      <c r="N6" t="s">
        <v>2696</v>
      </c>
      <c r="O6" t="s">
        <v>2697</v>
      </c>
      <c r="P6" s="5">
        <v>6</v>
      </c>
      <c r="Q6" t="s">
        <v>2691</v>
      </c>
      <c r="R6" t="s">
        <v>2677</v>
      </c>
      <c r="S6" t="s">
        <v>2692</v>
      </c>
      <c r="T6" s="5">
        <v>1</v>
      </c>
      <c r="U6" s="4">
        <v>65</v>
      </c>
      <c r="V6" s="4">
        <v>2555.9880082369259</v>
      </c>
      <c r="W6" s="4">
        <v>11704.88</v>
      </c>
    </row>
    <row r="7" spans="1:23" x14ac:dyDescent="0.25">
      <c r="A7" t="s">
        <v>36</v>
      </c>
      <c r="B7" t="s">
        <v>37</v>
      </c>
      <c r="C7" s="3">
        <v>989831</v>
      </c>
      <c r="D7" s="5">
        <v>0</v>
      </c>
      <c r="E7" s="4">
        <v>0</v>
      </c>
      <c r="F7" t="s">
        <v>2698</v>
      </c>
      <c r="G7" s="4">
        <v>120</v>
      </c>
      <c r="H7" s="5">
        <v>0</v>
      </c>
      <c r="I7" t="s">
        <v>2699</v>
      </c>
      <c r="J7" t="s">
        <v>2700</v>
      </c>
      <c r="K7" t="s">
        <v>2701</v>
      </c>
      <c r="L7" s="5">
        <v>0</v>
      </c>
      <c r="M7" t="s">
        <v>2702</v>
      </c>
      <c r="N7" t="s">
        <v>2703</v>
      </c>
      <c r="O7" t="s">
        <v>2704</v>
      </c>
      <c r="P7" s="5">
        <v>10</v>
      </c>
      <c r="Q7" t="s">
        <v>2705</v>
      </c>
      <c r="R7" t="s">
        <v>2706</v>
      </c>
      <c r="S7" t="s">
        <v>2707</v>
      </c>
      <c r="T7" s="5">
        <v>0</v>
      </c>
      <c r="U7" s="4">
        <v>73</v>
      </c>
      <c r="V7" s="4">
        <v>3780.0273723494211</v>
      </c>
      <c r="W7" s="4">
        <v>12831</v>
      </c>
    </row>
    <row r="8" spans="1:23" x14ac:dyDescent="0.25">
      <c r="A8" t="s">
        <v>38</v>
      </c>
      <c r="B8" t="s">
        <v>39</v>
      </c>
      <c r="C8" s="3">
        <v>27</v>
      </c>
      <c r="D8" s="5">
        <v>0</v>
      </c>
      <c r="E8" s="4">
        <v>0</v>
      </c>
      <c r="F8" t="s">
        <v>2708</v>
      </c>
      <c r="G8" s="4">
        <v>120</v>
      </c>
      <c r="H8" s="5">
        <v>0</v>
      </c>
      <c r="I8" t="s">
        <v>2709</v>
      </c>
      <c r="J8" t="s">
        <v>2710</v>
      </c>
      <c r="K8" t="s">
        <v>2711</v>
      </c>
      <c r="L8" s="5">
        <v>0</v>
      </c>
      <c r="M8" t="s">
        <v>2712</v>
      </c>
      <c r="N8" t="s">
        <v>2713</v>
      </c>
      <c r="O8" t="s">
        <v>2714</v>
      </c>
      <c r="P8" s="5">
        <v>0</v>
      </c>
      <c r="Q8" t="s">
        <v>2715</v>
      </c>
      <c r="R8" t="s">
        <v>2716</v>
      </c>
      <c r="S8" t="s">
        <v>2717</v>
      </c>
      <c r="T8" s="5">
        <v>0</v>
      </c>
      <c r="U8" s="4">
        <v>1847.7</v>
      </c>
      <c r="V8" s="4">
        <v>6542.7777777777774</v>
      </c>
      <c r="W8" s="4">
        <v>14293.02</v>
      </c>
    </row>
  </sheetData>
  <mergeCells count="5">
    <mergeCell ref="D1:G1"/>
    <mergeCell ref="H1:K1"/>
    <mergeCell ref="L1:O1"/>
    <mergeCell ref="P1:S1"/>
    <mergeCell ref="T1:W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3" max="3" width="9.140625" style="3"/>
    <col min="4" max="4" width="9.140625" style="6"/>
    <col min="6" max="10" width="9.140625" style="4"/>
    <col min="11" max="11" width="9.140625" style="6"/>
    <col min="12" max="16" width="9.140625" style="4"/>
    <col min="17" max="17" width="9.140625" style="6"/>
    <col min="18" max="21" width="9.140625" style="4"/>
    <col min="22" max="22" width="9.140625" style="6"/>
    <col min="23" max="24" width="9.140625" style="4"/>
    <col min="25" max="25" width="9.140625" style="6"/>
    <col min="26" max="28" width="9.140625" style="4"/>
  </cols>
  <sheetData>
    <row r="1" spans="1:28" x14ac:dyDescent="0.25">
      <c r="A1" s="7"/>
      <c r="B1" s="7"/>
      <c r="C1" s="7"/>
      <c r="D1" s="16" t="s">
        <v>2718</v>
      </c>
      <c r="E1" s="16"/>
      <c r="F1" s="16"/>
      <c r="G1" s="16"/>
      <c r="H1" s="16"/>
      <c r="I1" s="16"/>
      <c r="J1" s="16"/>
      <c r="K1" s="16" t="s">
        <v>2719</v>
      </c>
      <c r="L1" s="16"/>
      <c r="M1" s="16"/>
      <c r="N1" s="16"/>
      <c r="O1" s="16"/>
      <c r="P1" s="16"/>
      <c r="Q1" s="16" t="s">
        <v>2720</v>
      </c>
      <c r="R1" s="16"/>
      <c r="S1" s="16"/>
      <c r="T1" s="16"/>
      <c r="U1" s="16"/>
      <c r="V1" s="16" t="s">
        <v>2721</v>
      </c>
      <c r="W1" s="16"/>
      <c r="X1" s="16"/>
      <c r="Y1" s="16" t="s">
        <v>45</v>
      </c>
      <c r="Z1" s="16"/>
      <c r="AA1" s="16"/>
      <c r="AB1" s="16"/>
    </row>
    <row r="2" spans="1:28" ht="30" x14ac:dyDescent="0.25">
      <c r="A2" s="9" t="s">
        <v>13</v>
      </c>
      <c r="B2" s="9" t="s">
        <v>14</v>
      </c>
      <c r="C2" s="9" t="s">
        <v>47</v>
      </c>
      <c r="D2" s="10" t="s">
        <v>2722</v>
      </c>
      <c r="E2" s="9" t="s">
        <v>2723</v>
      </c>
      <c r="F2" s="9" t="s">
        <v>2724</v>
      </c>
      <c r="G2" s="9" t="s">
        <v>2725</v>
      </c>
      <c r="H2" s="9" t="s">
        <v>2726</v>
      </c>
      <c r="I2" s="9" t="s">
        <v>2727</v>
      </c>
      <c r="J2" s="9" t="s">
        <v>2728</v>
      </c>
      <c r="K2" s="10" t="s">
        <v>52</v>
      </c>
      <c r="L2" s="9" t="s">
        <v>2729</v>
      </c>
      <c r="M2" s="9" t="s">
        <v>2730</v>
      </c>
      <c r="N2" s="9" t="s">
        <v>2731</v>
      </c>
      <c r="O2" s="9" t="s">
        <v>2732</v>
      </c>
      <c r="P2" s="9" t="s">
        <v>2733</v>
      </c>
      <c r="Q2" s="10" t="s">
        <v>52</v>
      </c>
      <c r="R2" s="9" t="s">
        <v>71</v>
      </c>
      <c r="S2" s="9" t="s">
        <v>73</v>
      </c>
      <c r="T2" s="9" t="s">
        <v>74</v>
      </c>
      <c r="U2" s="9" t="s">
        <v>77</v>
      </c>
      <c r="V2" s="10" t="s">
        <v>52</v>
      </c>
      <c r="W2" s="9" t="s">
        <v>2732</v>
      </c>
      <c r="X2" s="9" t="s">
        <v>2734</v>
      </c>
      <c r="Y2" s="10" t="s">
        <v>53</v>
      </c>
      <c r="Z2" s="9" t="s">
        <v>54</v>
      </c>
      <c r="AA2" s="9" t="s">
        <v>55</v>
      </c>
      <c r="AB2" s="9" t="s">
        <v>56</v>
      </c>
    </row>
    <row r="3" spans="1:28" x14ac:dyDescent="0.25">
      <c r="A3" t="s">
        <v>28</v>
      </c>
      <c r="B3" t="s">
        <v>29</v>
      </c>
      <c r="C3" s="3">
        <v>261707</v>
      </c>
      <c r="D3" s="6">
        <v>9.9844482570202557E-3</v>
      </c>
      <c r="F3" s="4">
        <v>0.99998853679878641</v>
      </c>
      <c r="G3" s="4">
        <v>0.76454966814032488</v>
      </c>
      <c r="H3" s="4">
        <v>0.82990137825889254</v>
      </c>
      <c r="I3" s="4">
        <v>0.87044672095129283</v>
      </c>
      <c r="J3" s="4">
        <v>0.81141123470140275</v>
      </c>
      <c r="K3" s="6">
        <v>0</v>
      </c>
      <c r="L3" s="4">
        <v>0.12690910063544339</v>
      </c>
      <c r="M3" s="4">
        <v>0</v>
      </c>
      <c r="N3" s="4">
        <v>0.87295334094999366</v>
      </c>
      <c r="O3" s="4">
        <v>5.349493899666421E-5</v>
      </c>
      <c r="P3" s="4">
        <v>8.4063475566186608E-5</v>
      </c>
      <c r="Q3" s="6">
        <v>0</v>
      </c>
      <c r="R3" s="4">
        <v>6.0640334419790071E-3</v>
      </c>
      <c r="S3" s="4">
        <v>0.94979499975163062</v>
      </c>
      <c r="T3" s="4">
        <v>1.1337106000221619E-2</v>
      </c>
      <c r="U3" s="4">
        <v>3.2803860806168733E-2</v>
      </c>
      <c r="V3" s="6">
        <v>0</v>
      </c>
      <c r="W3" s="4">
        <v>0.95841150599716474</v>
      </c>
      <c r="X3" s="4">
        <v>4.1588494002835229E-2</v>
      </c>
      <c r="Y3" s="6">
        <v>0.50465597022624542</v>
      </c>
      <c r="Z3" s="4">
        <v>5.3303885643104697E-2</v>
      </c>
      <c r="AA3" s="4">
        <v>0.34466789195550751</v>
      </c>
      <c r="AB3" s="4">
        <v>9.7372252175142435E-2</v>
      </c>
    </row>
    <row r="4" spans="1:28" x14ac:dyDescent="0.25">
      <c r="A4" t="s">
        <v>30</v>
      </c>
      <c r="B4" t="s">
        <v>31</v>
      </c>
      <c r="C4" s="3">
        <v>255562</v>
      </c>
      <c r="D4" s="6">
        <v>9.7314937275494798E-3</v>
      </c>
      <c r="F4" s="4">
        <v>0.99999608705519605</v>
      </c>
      <c r="G4" s="4">
        <v>0.76544243666898837</v>
      </c>
      <c r="H4" s="4">
        <v>0.83086687379187829</v>
      </c>
      <c r="I4" s="4">
        <v>0.87162410687034853</v>
      </c>
      <c r="J4" s="4">
        <v>0.81097737535314329</v>
      </c>
      <c r="K4" s="6">
        <v>0</v>
      </c>
      <c r="L4" s="4">
        <v>0.12673636925677531</v>
      </c>
      <c r="M4" s="4">
        <v>0</v>
      </c>
      <c r="N4" s="4">
        <v>0.87312667767508467</v>
      </c>
      <c r="O4" s="4">
        <v>4.3042392844006537E-5</v>
      </c>
      <c r="P4" s="4">
        <v>9.3910675296014271E-5</v>
      </c>
      <c r="Q4" s="6">
        <v>0</v>
      </c>
      <c r="R4" s="4">
        <v>5.9633278812969061E-3</v>
      </c>
      <c r="S4" s="4">
        <v>0.94973431104780837</v>
      </c>
      <c r="T4" s="4">
        <v>1.142579882768174E-2</v>
      </c>
      <c r="U4" s="4">
        <v>3.2876562243213003E-2</v>
      </c>
      <c r="V4" s="6">
        <v>0</v>
      </c>
      <c r="W4" s="4">
        <v>0.95828018249974567</v>
      </c>
      <c r="X4" s="4">
        <v>4.1719817500254337E-2</v>
      </c>
      <c r="Y4" s="6">
        <v>0.50382294707350861</v>
      </c>
      <c r="Z4" s="4">
        <v>5.2879536081264028E-2</v>
      </c>
      <c r="AA4" s="4">
        <v>0.34495347508628038</v>
      </c>
      <c r="AB4" s="4">
        <v>9.8344041758946954E-2</v>
      </c>
    </row>
    <row r="5" spans="1:28" x14ac:dyDescent="0.25">
      <c r="A5" t="s">
        <v>32</v>
      </c>
      <c r="B5" t="s">
        <v>33</v>
      </c>
      <c r="C5" s="3">
        <v>255564</v>
      </c>
      <c r="D5" s="6">
        <v>1.019705435820382E-2</v>
      </c>
      <c r="F5" s="4">
        <v>0.9999843483432721</v>
      </c>
      <c r="G5" s="4">
        <v>0.76560470175768103</v>
      </c>
      <c r="H5" s="4">
        <v>0.83035951855503909</v>
      </c>
      <c r="I5" s="4">
        <v>0.87106165187585105</v>
      </c>
      <c r="J5" s="4">
        <v>0.81113537117903933</v>
      </c>
      <c r="K5" s="6">
        <v>0</v>
      </c>
      <c r="L5" s="4">
        <v>0.12751013444773129</v>
      </c>
      <c r="M5" s="4">
        <v>0</v>
      </c>
      <c r="N5" s="4">
        <v>0.87236856521262773</v>
      </c>
      <c r="O5" s="4">
        <v>3.5216227637695453E-5</v>
      </c>
      <c r="P5" s="4">
        <v>8.6084112003255545E-5</v>
      </c>
      <c r="Q5" s="6">
        <v>0</v>
      </c>
      <c r="R5" s="4">
        <v>6.3428338889671473E-3</v>
      </c>
      <c r="S5" s="4">
        <v>0.94931210968681035</v>
      </c>
      <c r="T5" s="4">
        <v>1.1351364041883831E-2</v>
      </c>
      <c r="U5" s="4">
        <v>3.2993692382338673E-2</v>
      </c>
      <c r="V5" s="6">
        <v>0</v>
      </c>
      <c r="W5" s="4">
        <v>0.95762705232348844</v>
      </c>
      <c r="X5" s="4">
        <v>4.2372947676511563E-2</v>
      </c>
      <c r="Y5" s="6">
        <v>0.50302468266265987</v>
      </c>
      <c r="Z5" s="4">
        <v>5.2562176206351438E-2</v>
      </c>
      <c r="AA5" s="4">
        <v>0.34632812133164298</v>
      </c>
      <c r="AB5" s="4">
        <v>9.8085019799345766E-2</v>
      </c>
    </row>
    <row r="6" spans="1:28" x14ac:dyDescent="0.25">
      <c r="A6" t="s">
        <v>34</v>
      </c>
      <c r="B6" t="s">
        <v>35</v>
      </c>
      <c r="C6" s="3">
        <v>253008</v>
      </c>
      <c r="D6" s="6">
        <v>1.0149876683741231E-2</v>
      </c>
      <c r="F6" s="4">
        <v>0.99998023777904255</v>
      </c>
      <c r="G6" s="4">
        <v>0.76552915322835646</v>
      </c>
      <c r="H6" s="4">
        <v>0.83058243217605765</v>
      </c>
      <c r="I6" s="4">
        <v>0.87067207361032062</v>
      </c>
      <c r="J6" s="4">
        <v>0.81180832226648958</v>
      </c>
      <c r="K6" s="6">
        <v>3.9524441914880159E-6</v>
      </c>
      <c r="L6" s="4">
        <v>0.127316132296212</v>
      </c>
      <c r="M6" s="4">
        <v>0</v>
      </c>
      <c r="N6" s="4">
        <v>0.87254157971289448</v>
      </c>
      <c r="O6" s="4">
        <v>5.1381774489344207E-5</v>
      </c>
      <c r="P6" s="4">
        <v>8.6953772212736361E-5</v>
      </c>
      <c r="Q6" s="6">
        <v>3.9524441914880159E-6</v>
      </c>
      <c r="R6" s="4">
        <v>5.9089040662745843E-3</v>
      </c>
      <c r="S6" s="4">
        <v>0.95004110541959153</v>
      </c>
      <c r="T6" s="4">
        <v>1.1513469929804589E-2</v>
      </c>
      <c r="U6" s="4">
        <v>3.2532568140137857E-2</v>
      </c>
      <c r="V6" s="6">
        <v>3.9524441914880159E-6</v>
      </c>
      <c r="W6" s="4">
        <v>0.95759027382533357</v>
      </c>
      <c r="X6" s="4">
        <v>4.2405773730474917E-2</v>
      </c>
      <c r="Y6" s="6">
        <v>0.50482988680199836</v>
      </c>
      <c r="Z6" s="4">
        <v>5.3022038828811742E-2</v>
      </c>
      <c r="AA6" s="4">
        <v>0.34479937393283999</v>
      </c>
      <c r="AB6" s="4">
        <v>9.7348700436349841E-2</v>
      </c>
    </row>
    <row r="7" spans="1:28" x14ac:dyDescent="0.25">
      <c r="A7" t="s">
        <v>36</v>
      </c>
      <c r="B7" t="s">
        <v>37</v>
      </c>
      <c r="C7" s="3">
        <v>989831</v>
      </c>
      <c r="D7" s="6">
        <v>2.1842112441416771E-3</v>
      </c>
      <c r="F7" s="4">
        <v>1</v>
      </c>
      <c r="G7" s="4">
        <v>0.57581546748889456</v>
      </c>
      <c r="H7" s="4">
        <v>0.74678606752061716</v>
      </c>
      <c r="I7" s="4">
        <v>0.79083500112645488</v>
      </c>
      <c r="J7" s="4">
        <v>0.86264018807250931</v>
      </c>
      <c r="K7" s="6">
        <v>0</v>
      </c>
      <c r="L7" s="4">
        <v>6.0873017717165863E-2</v>
      </c>
      <c r="M7" s="4">
        <v>0.18359699787135381</v>
      </c>
      <c r="N7" s="4">
        <v>0.38236325190865922</v>
      </c>
      <c r="O7" s="4">
        <v>0.15959188992868481</v>
      </c>
      <c r="P7" s="4">
        <v>0.21357484257413639</v>
      </c>
      <c r="Q7" s="6">
        <v>0</v>
      </c>
      <c r="R7" s="4">
        <v>7.9276159263551044E-3</v>
      </c>
      <c r="S7" s="4">
        <v>0.94027970431316055</v>
      </c>
      <c r="T7" s="4">
        <v>1.551577996647913E-2</v>
      </c>
      <c r="U7" s="4">
        <v>3.6276899794005238E-2</v>
      </c>
      <c r="V7" s="6">
        <v>0</v>
      </c>
      <c r="W7" s="4">
        <v>0.97655256301328208</v>
      </c>
      <c r="X7" s="4">
        <v>2.3447436986717939E-2</v>
      </c>
      <c r="Y7" s="6">
        <v>0</v>
      </c>
      <c r="Z7" s="4">
        <v>0.2996814607746171</v>
      </c>
      <c r="AA7" s="4">
        <v>0</v>
      </c>
      <c r="AB7" s="4">
        <v>0.7003185392253829</v>
      </c>
    </row>
    <row r="8" spans="1:28" x14ac:dyDescent="0.25">
      <c r="A8" t="s">
        <v>38</v>
      </c>
      <c r="B8" t="s">
        <v>39</v>
      </c>
      <c r="C8" s="3">
        <v>27</v>
      </c>
      <c r="D8" s="6">
        <v>0.7407407407407407</v>
      </c>
      <c r="F8" s="4">
        <v>1</v>
      </c>
      <c r="G8" s="4">
        <v>0.92592592592592593</v>
      </c>
      <c r="H8" s="4">
        <v>0.7407407407407407</v>
      </c>
      <c r="I8" s="4">
        <v>0.96296296296296291</v>
      </c>
      <c r="J8" s="4">
        <v>0.62962962962962965</v>
      </c>
      <c r="K8" s="6">
        <v>0</v>
      </c>
      <c r="L8" s="4">
        <v>7.407407407407407E-2</v>
      </c>
      <c r="M8" s="4">
        <v>0.51851851851851849</v>
      </c>
      <c r="N8" s="4">
        <v>0.14814814814814811</v>
      </c>
      <c r="O8" s="4">
        <v>7.407407407407407E-2</v>
      </c>
      <c r="P8" s="4">
        <v>0.1851851851851852</v>
      </c>
      <c r="Q8" s="6">
        <v>0</v>
      </c>
      <c r="R8" s="4">
        <v>0</v>
      </c>
      <c r="S8" s="4">
        <v>0.70370370370370372</v>
      </c>
      <c r="T8" s="4">
        <v>0</v>
      </c>
      <c r="U8" s="4">
        <v>0.29629629629629628</v>
      </c>
      <c r="V8" s="6">
        <v>0</v>
      </c>
      <c r="W8" s="4">
        <v>1</v>
      </c>
      <c r="X8" s="4">
        <v>0</v>
      </c>
      <c r="Y8" s="6">
        <v>0.96296296296296291</v>
      </c>
      <c r="Z8" s="4">
        <v>0</v>
      </c>
      <c r="AA8" s="4">
        <v>3.7037037037037028E-2</v>
      </c>
      <c r="AB8" s="4">
        <v>0</v>
      </c>
    </row>
  </sheetData>
  <mergeCells count="5">
    <mergeCell ref="D1:J1"/>
    <mergeCell ref="K1:P1"/>
    <mergeCell ref="Q1:U1"/>
    <mergeCell ref="V1:X1"/>
    <mergeCell ref="Y1:A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3" max="3" width="9.140625" style="3"/>
    <col min="4" max="4" width="9.140625" style="5"/>
    <col min="5" max="7" width="9.140625" style="4"/>
    <col min="8" max="8" width="9.140625" style="5"/>
    <col min="9" max="11" width="9.140625" style="4"/>
    <col min="12" max="12" width="9.140625" style="5"/>
    <col min="13" max="15" width="9.140625" style="4"/>
    <col min="16" max="16" width="9.140625" style="5"/>
    <col min="17" max="19" width="9.140625" style="4"/>
    <col min="20" max="20" width="9.140625" style="5"/>
    <col min="21" max="23" width="9.140625" style="4"/>
    <col min="24" max="24" width="9.140625" style="6"/>
    <col min="25" max="28" width="9.140625" style="4"/>
    <col min="29" max="30" width="9.140625" style="6"/>
    <col min="31" max="32" width="9.140625" style="4"/>
    <col min="37" max="37" width="22" customWidth="1"/>
    <col min="38" max="38" width="150.7109375" customWidth="1"/>
    <col min="39" max="39" width="340.7109375" customWidth="1"/>
  </cols>
  <sheetData>
    <row r="1" spans="1:39" x14ac:dyDescent="0.25">
      <c r="A1" s="7"/>
      <c r="B1" s="7"/>
      <c r="C1" s="7"/>
      <c r="D1" s="16" t="s">
        <v>2735</v>
      </c>
      <c r="E1" s="16"/>
      <c r="F1" s="16"/>
      <c r="G1" s="16"/>
      <c r="H1" s="16" t="s">
        <v>2736</v>
      </c>
      <c r="I1" s="16"/>
      <c r="J1" s="16"/>
      <c r="K1" s="16"/>
      <c r="L1" s="16" t="s">
        <v>2737</v>
      </c>
      <c r="M1" s="16"/>
      <c r="N1" s="16"/>
      <c r="O1" s="16"/>
      <c r="P1" s="16" t="s">
        <v>2738</v>
      </c>
      <c r="Q1" s="16"/>
      <c r="R1" s="16"/>
      <c r="S1" s="16"/>
      <c r="T1" s="16" t="s">
        <v>2739</v>
      </c>
      <c r="U1" s="16"/>
      <c r="V1" s="16"/>
      <c r="W1" s="16"/>
      <c r="X1" s="16" t="s">
        <v>2740</v>
      </c>
      <c r="Y1" s="16"/>
      <c r="Z1" s="16"/>
      <c r="AA1" s="16"/>
      <c r="AB1" s="16"/>
      <c r="AC1" s="8" t="s">
        <v>2741</v>
      </c>
      <c r="AD1" s="16" t="s">
        <v>2742</v>
      </c>
      <c r="AE1" s="16"/>
      <c r="AF1" s="16"/>
    </row>
    <row r="2" spans="1:39" ht="30" x14ac:dyDescent="0.25">
      <c r="A2" s="9" t="s">
        <v>13</v>
      </c>
      <c r="B2" s="9" t="s">
        <v>14</v>
      </c>
      <c r="C2" s="9" t="s">
        <v>47</v>
      </c>
      <c r="D2" s="10" t="s">
        <v>48</v>
      </c>
      <c r="E2" s="9" t="s">
        <v>49</v>
      </c>
      <c r="F2" s="9" t="s">
        <v>50</v>
      </c>
      <c r="G2" s="9" t="s">
        <v>51</v>
      </c>
      <c r="H2" s="10" t="s">
        <v>48</v>
      </c>
      <c r="I2" s="9" t="s">
        <v>49</v>
      </c>
      <c r="J2" s="9" t="s">
        <v>50</v>
      </c>
      <c r="K2" s="9" t="s">
        <v>51</v>
      </c>
      <c r="L2" s="10" t="s">
        <v>48</v>
      </c>
      <c r="M2" s="9" t="s">
        <v>49</v>
      </c>
      <c r="N2" s="9" t="s">
        <v>50</v>
      </c>
      <c r="O2" s="9" t="s">
        <v>51</v>
      </c>
      <c r="P2" s="10" t="s">
        <v>48</v>
      </c>
      <c r="Q2" s="9" t="s">
        <v>49</v>
      </c>
      <c r="R2" s="9" t="s">
        <v>50</v>
      </c>
      <c r="S2" s="9" t="s">
        <v>51</v>
      </c>
      <c r="T2" s="10" t="s">
        <v>48</v>
      </c>
      <c r="U2" s="9" t="s">
        <v>49</v>
      </c>
      <c r="V2" s="9" t="s">
        <v>50</v>
      </c>
      <c r="W2" s="9" t="s">
        <v>51</v>
      </c>
      <c r="X2" s="10" t="s">
        <v>2743</v>
      </c>
      <c r="Y2" s="9" t="s">
        <v>2744</v>
      </c>
      <c r="Z2" s="9" t="s">
        <v>2745</v>
      </c>
      <c r="AA2" s="9" t="s">
        <v>2746</v>
      </c>
      <c r="AB2" s="9" t="s">
        <v>2747</v>
      </c>
      <c r="AC2" s="10" t="s">
        <v>2748</v>
      </c>
      <c r="AD2" s="10" t="s">
        <v>2731</v>
      </c>
      <c r="AE2" s="9" t="s">
        <v>2749</v>
      </c>
      <c r="AF2" s="9" t="s">
        <v>2750</v>
      </c>
      <c r="AK2" s="2" t="s">
        <v>2751</v>
      </c>
      <c r="AL2" s="2" t="s">
        <v>2752</v>
      </c>
      <c r="AM2" s="2" t="s">
        <v>2753</v>
      </c>
    </row>
    <row r="3" spans="1:39" x14ac:dyDescent="0.25">
      <c r="A3" t="s">
        <v>34</v>
      </c>
      <c r="B3" t="s">
        <v>35</v>
      </c>
      <c r="C3" s="3">
        <v>253008</v>
      </c>
      <c r="D3" s="5">
        <v>0</v>
      </c>
      <c r="E3" s="4">
        <v>0</v>
      </c>
      <c r="F3" s="4">
        <v>17.14628391197116</v>
      </c>
      <c r="G3" s="4">
        <v>120</v>
      </c>
      <c r="H3" s="5">
        <v>0</v>
      </c>
      <c r="I3" s="4">
        <v>0</v>
      </c>
      <c r="J3" s="4">
        <v>19.539299152595969</v>
      </c>
      <c r="K3" s="4">
        <v>116</v>
      </c>
      <c r="L3" s="5">
        <v>0</v>
      </c>
      <c r="M3" s="4">
        <v>0</v>
      </c>
      <c r="N3" s="4">
        <v>4.6394264212989311</v>
      </c>
      <c r="O3" s="4">
        <v>29</v>
      </c>
      <c r="P3" s="5">
        <v>0</v>
      </c>
      <c r="Q3" s="4">
        <v>0</v>
      </c>
      <c r="R3" s="4">
        <v>2659.0423341159171</v>
      </c>
      <c r="S3" s="4">
        <v>8724.8300000000036</v>
      </c>
      <c r="T3" s="5">
        <v>0</v>
      </c>
      <c r="U3" s="4">
        <v>0</v>
      </c>
      <c r="V3" s="4">
        <v>612.88663722095714</v>
      </c>
      <c r="W3" s="4">
        <v>2166.3000000000002</v>
      </c>
      <c r="X3" s="6">
        <v>0.43833396572440397</v>
      </c>
      <c r="Y3" s="4">
        <v>5.9156232214001139E-2</v>
      </c>
      <c r="Z3" s="4">
        <v>0.28573009549105172</v>
      </c>
      <c r="AA3" s="4">
        <v>0.75877442610510337</v>
      </c>
      <c r="AB3" s="4">
        <v>2.3714665148928099E-4</v>
      </c>
      <c r="AC3" s="6">
        <v>2.4109909568076899E-4</v>
      </c>
      <c r="AD3" s="6">
        <v>1.378217289571871E-2</v>
      </c>
      <c r="AE3" s="4">
        <v>7.8124011888952127E-2</v>
      </c>
      <c r="AF3" s="4">
        <v>5.1381774489344207E-5</v>
      </c>
      <c r="AK3" t="s">
        <v>2743</v>
      </c>
      <c r="AL3" t="s">
        <v>2754</v>
      </c>
      <c r="AM3" t="s">
        <v>2755</v>
      </c>
    </row>
    <row r="4" spans="1:39" x14ac:dyDescent="0.25">
      <c r="A4" t="s">
        <v>36</v>
      </c>
      <c r="B4" t="s">
        <v>37</v>
      </c>
      <c r="C4" s="3">
        <v>989831</v>
      </c>
      <c r="D4" s="5">
        <v>0</v>
      </c>
      <c r="E4" s="4">
        <v>0</v>
      </c>
      <c r="F4" s="4">
        <v>4.0773455266606113</v>
      </c>
      <c r="G4" s="4">
        <v>52</v>
      </c>
      <c r="H4" s="5">
        <v>0</v>
      </c>
      <c r="I4" s="4">
        <v>0</v>
      </c>
      <c r="J4" s="4">
        <v>15.04521175837087</v>
      </c>
      <c r="K4" s="4">
        <v>124</v>
      </c>
      <c r="L4" s="5">
        <v>0</v>
      </c>
      <c r="M4" s="4">
        <v>0</v>
      </c>
      <c r="N4" s="4">
        <v>3.4418633079788372</v>
      </c>
      <c r="O4" s="4">
        <v>30</v>
      </c>
      <c r="P4" s="5">
        <v>0</v>
      </c>
      <c r="Q4" s="4">
        <v>135.453</v>
      </c>
      <c r="R4" s="4">
        <v>2403.8540609861711</v>
      </c>
      <c r="S4" s="4">
        <v>8724.8300000000036</v>
      </c>
      <c r="T4" s="5">
        <v>0</v>
      </c>
      <c r="U4" s="4">
        <v>0</v>
      </c>
      <c r="V4" s="4">
        <v>567.67626985818754</v>
      </c>
      <c r="W4" s="4">
        <v>2166.3000000000002</v>
      </c>
      <c r="X4" s="6">
        <v>0.67877748827830209</v>
      </c>
      <c r="Y4" s="4">
        <v>5.2556446504504313E-2</v>
      </c>
      <c r="Z4" s="4">
        <v>0.249111211913953</v>
      </c>
      <c r="AA4" s="4">
        <v>0.40404574114166958</v>
      </c>
      <c r="AB4" s="4">
        <v>2.9398958003942088E-4</v>
      </c>
      <c r="AC4" s="6">
        <v>2.9499985351034671E-4</v>
      </c>
      <c r="AD4" s="6">
        <v>4.5108710476838973E-3</v>
      </c>
      <c r="AE4" s="4">
        <v>7.0080650131184016E-2</v>
      </c>
      <c r="AF4" s="4">
        <v>2.424656330222028E-5</v>
      </c>
      <c r="AK4" t="s">
        <v>2744</v>
      </c>
      <c r="AL4" t="s">
        <v>2756</v>
      </c>
      <c r="AM4" t="s">
        <v>2757</v>
      </c>
    </row>
    <row r="5" spans="1:39" x14ac:dyDescent="0.25">
      <c r="A5" t="s">
        <v>38</v>
      </c>
      <c r="B5" t="s">
        <v>39</v>
      </c>
      <c r="C5" s="3">
        <v>27</v>
      </c>
      <c r="D5" s="5">
        <v>0</v>
      </c>
      <c r="E5" s="4">
        <v>2.08</v>
      </c>
      <c r="F5" s="4">
        <v>57.037037037037038</v>
      </c>
      <c r="G5" s="4">
        <v>196.33999999999989</v>
      </c>
      <c r="H5" s="5">
        <v>0</v>
      </c>
      <c r="I5" s="4">
        <v>0</v>
      </c>
      <c r="J5" s="4">
        <v>35.037037037037038</v>
      </c>
      <c r="K5" s="4">
        <v>217.9199999999999</v>
      </c>
      <c r="L5" s="5">
        <v>0</v>
      </c>
      <c r="M5" s="4">
        <v>0</v>
      </c>
      <c r="N5" s="4">
        <v>7.0370370370370372</v>
      </c>
      <c r="O5" s="4">
        <v>45.48</v>
      </c>
      <c r="P5" s="5">
        <v>0</v>
      </c>
      <c r="Q5" s="4">
        <v>216.9872</v>
      </c>
      <c r="R5" s="4">
        <v>4507.1588888888891</v>
      </c>
      <c r="S5" s="4">
        <v>8724.8300000000036</v>
      </c>
      <c r="T5" s="5">
        <v>0</v>
      </c>
      <c r="U5" s="4">
        <v>22.859200000000001</v>
      </c>
      <c r="V5" s="4">
        <v>1120.9529629629631</v>
      </c>
      <c r="W5" s="4">
        <v>2166.3000000000002</v>
      </c>
      <c r="X5" s="6">
        <v>3.7037037037037028E-2</v>
      </c>
      <c r="Y5" s="4">
        <v>0.1851851851851852</v>
      </c>
      <c r="Z5" s="4">
        <v>0.1111111111111111</v>
      </c>
      <c r="AA5" s="4">
        <v>0.29629629629629628</v>
      </c>
      <c r="AB5" s="4">
        <v>0</v>
      </c>
      <c r="AC5" s="6">
        <v>0</v>
      </c>
      <c r="AD5" s="6">
        <v>0.1851851851851852</v>
      </c>
      <c r="AE5" s="4">
        <v>3.7037037037037028E-2</v>
      </c>
      <c r="AF5" s="4">
        <v>0</v>
      </c>
      <c r="AK5" t="s">
        <v>2745</v>
      </c>
      <c r="AL5" t="s">
        <v>2758</v>
      </c>
      <c r="AM5" t="s">
        <v>2759</v>
      </c>
    </row>
    <row r="6" spans="1:39" x14ac:dyDescent="0.25">
      <c r="A6" t="s">
        <v>28</v>
      </c>
      <c r="B6" t="s">
        <v>29</v>
      </c>
      <c r="C6" s="3">
        <v>261707</v>
      </c>
      <c r="D6" s="5">
        <v>0</v>
      </c>
      <c r="E6" s="4">
        <v>0</v>
      </c>
      <c r="F6" s="4">
        <v>17.151650509921399</v>
      </c>
      <c r="G6" s="4">
        <v>119</v>
      </c>
      <c r="H6" s="5">
        <v>0</v>
      </c>
      <c r="I6" s="4">
        <v>0</v>
      </c>
      <c r="J6" s="4">
        <v>19.496903025138799</v>
      </c>
      <c r="K6" s="4">
        <v>115</v>
      </c>
      <c r="L6" s="5">
        <v>0</v>
      </c>
      <c r="M6" s="4">
        <v>0</v>
      </c>
      <c r="N6" s="4">
        <v>4.6248056032127529</v>
      </c>
      <c r="O6" s="4">
        <v>29</v>
      </c>
      <c r="P6" s="5">
        <v>0</v>
      </c>
      <c r="Q6" s="4">
        <v>0</v>
      </c>
      <c r="R6" s="4">
        <v>2659.0435540891158</v>
      </c>
      <c r="S6" s="4">
        <v>8724.8300000000036</v>
      </c>
      <c r="T6" s="5">
        <v>0</v>
      </c>
      <c r="U6" s="4">
        <v>0</v>
      </c>
      <c r="V6" s="4">
        <v>612.96302383963769</v>
      </c>
      <c r="W6" s="4">
        <v>2166.3000000000002</v>
      </c>
      <c r="X6" s="6">
        <v>0.43831078266916818</v>
      </c>
      <c r="Y6" s="4">
        <v>5.9918152743335097E-2</v>
      </c>
      <c r="Z6" s="4">
        <v>0.28683222076597109</v>
      </c>
      <c r="AA6" s="4">
        <v>0.7596548812221301</v>
      </c>
      <c r="AB6" s="4">
        <v>3.0186429862403381E-4</v>
      </c>
      <c r="AC6" s="6">
        <v>3.0186429862403381E-4</v>
      </c>
      <c r="AD6" s="6">
        <v>1.363356731000699E-2</v>
      </c>
      <c r="AE6" s="4">
        <v>7.8893571818866137E-2</v>
      </c>
      <c r="AF6" s="4">
        <v>4.2031737783093297E-5</v>
      </c>
      <c r="AK6" t="s">
        <v>2746</v>
      </c>
      <c r="AL6" t="s">
        <v>2760</v>
      </c>
      <c r="AM6" t="s">
        <v>2761</v>
      </c>
    </row>
    <row r="7" spans="1:39" x14ac:dyDescent="0.25">
      <c r="A7" t="s">
        <v>30</v>
      </c>
      <c r="B7" t="s">
        <v>31</v>
      </c>
      <c r="C7" s="3">
        <v>255562</v>
      </c>
      <c r="D7" s="5">
        <v>0</v>
      </c>
      <c r="E7" s="4">
        <v>0</v>
      </c>
      <c r="F7" s="4">
        <v>17.185187938738931</v>
      </c>
      <c r="G7" s="4">
        <v>120</v>
      </c>
      <c r="H7" s="5">
        <v>0</v>
      </c>
      <c r="I7" s="4">
        <v>0</v>
      </c>
      <c r="J7" s="4">
        <v>19.614195381159949</v>
      </c>
      <c r="K7" s="4">
        <v>116</v>
      </c>
      <c r="L7" s="5">
        <v>0</v>
      </c>
      <c r="M7" s="4">
        <v>0</v>
      </c>
      <c r="N7" s="4">
        <v>4.655343908718824</v>
      </c>
      <c r="O7" s="4">
        <v>29</v>
      </c>
      <c r="P7" s="5">
        <v>0</v>
      </c>
      <c r="Q7" s="4">
        <v>0</v>
      </c>
      <c r="R7" s="4">
        <v>2660.2792537622968</v>
      </c>
      <c r="S7" s="4">
        <v>8724.8300000000036</v>
      </c>
      <c r="T7" s="5">
        <v>0</v>
      </c>
      <c r="U7" s="4">
        <v>0</v>
      </c>
      <c r="V7" s="4">
        <v>611.77239930036501</v>
      </c>
      <c r="W7" s="4">
        <v>2166.3000000000002</v>
      </c>
      <c r="X7" s="6">
        <v>0.43940804971005082</v>
      </c>
      <c r="Y7" s="4">
        <v>6.0145874582293139E-2</v>
      </c>
      <c r="Z7" s="4">
        <v>0.28649016676970762</v>
      </c>
      <c r="AA7" s="4">
        <v>0.75997605277779956</v>
      </c>
      <c r="AB7" s="4">
        <v>2.7390613628004159E-4</v>
      </c>
      <c r="AC7" s="6">
        <v>2.7390613628004159E-4</v>
      </c>
      <c r="AD7" s="6">
        <v>1.349183368419405E-2</v>
      </c>
      <c r="AE7" s="4">
        <v>7.9119743936892029E-2</v>
      </c>
      <c r="AF7" s="4">
        <v>7.0433006472010707E-5</v>
      </c>
      <c r="AK7" t="s">
        <v>2747</v>
      </c>
      <c r="AL7" t="s">
        <v>2762</v>
      </c>
      <c r="AM7" t="s">
        <v>2763</v>
      </c>
    </row>
    <row r="8" spans="1:39" x14ac:dyDescent="0.25">
      <c r="A8" t="s">
        <v>32</v>
      </c>
      <c r="B8" t="s">
        <v>33</v>
      </c>
      <c r="C8" s="3">
        <v>255564</v>
      </c>
      <c r="D8" s="5">
        <v>0</v>
      </c>
      <c r="E8" s="4">
        <v>0</v>
      </c>
      <c r="F8" s="4">
        <v>17.122462475153</v>
      </c>
      <c r="G8" s="4">
        <v>120</v>
      </c>
      <c r="H8" s="5">
        <v>0</v>
      </c>
      <c r="I8" s="4">
        <v>0</v>
      </c>
      <c r="J8" s="4">
        <v>19.598464572474999</v>
      </c>
      <c r="K8" s="4">
        <v>116</v>
      </c>
      <c r="L8" s="5">
        <v>0</v>
      </c>
      <c r="M8" s="4">
        <v>0</v>
      </c>
      <c r="N8" s="4">
        <v>4.6552331314269617</v>
      </c>
      <c r="O8" s="4">
        <v>29</v>
      </c>
      <c r="P8" s="5">
        <v>0</v>
      </c>
      <c r="Q8" s="4">
        <v>0</v>
      </c>
      <c r="R8" s="4">
        <v>2657.1019373620661</v>
      </c>
      <c r="S8" s="4">
        <v>8724.8300000000036</v>
      </c>
      <c r="T8" s="5">
        <v>0</v>
      </c>
      <c r="U8" s="4">
        <v>0</v>
      </c>
      <c r="V8" s="4">
        <v>612.94196850886681</v>
      </c>
      <c r="W8" s="4">
        <v>2166.3000000000002</v>
      </c>
      <c r="X8" s="6">
        <v>0.44072717597157662</v>
      </c>
      <c r="Y8" s="4">
        <v>6.0419307883739497E-2</v>
      </c>
      <c r="Z8" s="4">
        <v>0.28551752202970693</v>
      </c>
      <c r="AA8" s="4">
        <v>0.75903100593197792</v>
      </c>
      <c r="AB8" s="4">
        <v>2.7390399273763129E-4</v>
      </c>
      <c r="AC8" s="6">
        <v>2.7781690691959737E-4</v>
      </c>
      <c r="AD8" s="6">
        <v>1.4106055625988011E-2</v>
      </c>
      <c r="AE8" s="4">
        <v>7.8410887292419906E-2</v>
      </c>
      <c r="AF8" s="4">
        <v>3.130331345572929E-5</v>
      </c>
    </row>
  </sheetData>
  <mergeCells count="7">
    <mergeCell ref="X1:AB1"/>
    <mergeCell ref="AD1:AF1"/>
    <mergeCell ref="D1:G1"/>
    <mergeCell ref="H1:K1"/>
    <mergeCell ref="L1:O1"/>
    <mergeCell ref="P1:S1"/>
    <mergeCell ref="T1:W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36"/>
  <sheetViews>
    <sheetView tabSelected="1" zoomScale="80" zoomScaleNormal="80" workbookViewId="0">
      <selection activeCell="I13" sqref="I13"/>
    </sheetView>
  </sheetViews>
  <sheetFormatPr defaultRowHeight="15" x14ac:dyDescent="0.25"/>
  <cols>
    <col min="1" max="1" width="9.42578125" customWidth="1"/>
    <col min="2" max="3" width="10.7109375" customWidth="1"/>
    <col min="4" max="4" width="14.42578125" customWidth="1"/>
    <col min="5" max="5" width="10.7109375" customWidth="1"/>
    <col min="14" max="14" width="10.85546875" customWidth="1"/>
  </cols>
  <sheetData>
    <row r="1" spans="1:14" x14ac:dyDescent="0.25">
      <c r="A1" s="17" t="s">
        <v>2764</v>
      </c>
      <c r="B1" s="17"/>
      <c r="C1" s="17"/>
      <c r="D1" s="17"/>
      <c r="E1" s="17"/>
      <c r="H1" s="17" t="s">
        <v>2765</v>
      </c>
      <c r="I1" s="17"/>
      <c r="J1" s="17"/>
      <c r="K1" s="17"/>
      <c r="L1" s="17"/>
    </row>
    <row r="2" spans="1:14" ht="30.75" thickBot="1" x14ac:dyDescent="0.3">
      <c r="A2" s="2" t="s">
        <v>2766</v>
      </c>
      <c r="B2" s="2" t="s">
        <v>2767</v>
      </c>
      <c r="C2" s="2" t="s">
        <v>2768</v>
      </c>
      <c r="D2" s="2" t="s">
        <v>2769</v>
      </c>
      <c r="E2" s="2" t="s">
        <v>2770</v>
      </c>
      <c r="H2" s="2" t="s">
        <v>2766</v>
      </c>
      <c r="I2" s="2" t="s">
        <v>2767</v>
      </c>
      <c r="J2" s="2" t="s">
        <v>2768</v>
      </c>
      <c r="K2" s="2" t="s">
        <v>2769</v>
      </c>
      <c r="L2" s="2" t="s">
        <v>2770</v>
      </c>
      <c r="N2" s="2" t="s">
        <v>2771</v>
      </c>
    </row>
    <row r="3" spans="1:14" x14ac:dyDescent="0.25">
      <c r="A3" s="3">
        <v>1740</v>
      </c>
      <c r="C3" s="3">
        <v>1</v>
      </c>
      <c r="D3" s="3">
        <v>0</v>
      </c>
      <c r="E3" s="3">
        <v>261707</v>
      </c>
      <c r="H3">
        <v>1740</v>
      </c>
      <c r="J3">
        <v>1</v>
      </c>
      <c r="K3">
        <v>0</v>
      </c>
      <c r="L3">
        <v>261717</v>
      </c>
      <c r="N3" s="3">
        <f>E3-L3</f>
        <v>-10</v>
      </c>
    </row>
    <row r="4" spans="1:14" x14ac:dyDescent="0.25">
      <c r="A4" s="3">
        <v>1740</v>
      </c>
      <c r="C4" s="3">
        <v>2</v>
      </c>
      <c r="D4" s="3">
        <v>0</v>
      </c>
      <c r="E4" s="3">
        <v>261707</v>
      </c>
      <c r="H4">
        <v>1740</v>
      </c>
      <c r="J4">
        <v>2</v>
      </c>
      <c r="K4">
        <v>0</v>
      </c>
      <c r="L4">
        <v>261717</v>
      </c>
      <c r="N4" s="3">
        <f t="shared" ref="N4:N67" si="0">E4-L4</f>
        <v>-10</v>
      </c>
    </row>
    <row r="5" spans="1:14" x14ac:dyDescent="0.25">
      <c r="A5" s="3">
        <v>1740</v>
      </c>
      <c r="B5" t="s">
        <v>91</v>
      </c>
      <c r="C5" s="3">
        <v>3</v>
      </c>
      <c r="D5" s="3">
        <v>0</v>
      </c>
      <c r="E5" s="3">
        <v>226078</v>
      </c>
      <c r="H5">
        <v>1740</v>
      </c>
      <c r="I5" t="s">
        <v>91</v>
      </c>
      <c r="J5">
        <v>3</v>
      </c>
      <c r="K5">
        <v>0</v>
      </c>
      <c r="L5">
        <v>226296</v>
      </c>
      <c r="N5" s="3">
        <f t="shared" si="0"/>
        <v>-218</v>
      </c>
    </row>
    <row r="6" spans="1:14" x14ac:dyDescent="0.25">
      <c r="A6" s="3">
        <v>1740</v>
      </c>
      <c r="B6" t="s">
        <v>91</v>
      </c>
      <c r="C6" s="3">
        <v>3</v>
      </c>
      <c r="D6" s="3">
        <v>1</v>
      </c>
      <c r="E6" s="3">
        <v>35629</v>
      </c>
      <c r="H6">
        <v>1740</v>
      </c>
      <c r="I6" t="s">
        <v>91</v>
      </c>
      <c r="J6">
        <v>3</v>
      </c>
      <c r="K6">
        <v>1</v>
      </c>
      <c r="L6">
        <v>35421</v>
      </c>
      <c r="N6" s="3">
        <f t="shared" si="0"/>
        <v>208</v>
      </c>
    </row>
    <row r="7" spans="1:14" x14ac:dyDescent="0.25">
      <c r="A7" s="3">
        <v>1740</v>
      </c>
      <c r="B7" t="s">
        <v>91</v>
      </c>
      <c r="C7" s="3">
        <v>4</v>
      </c>
      <c r="D7" s="3">
        <v>0</v>
      </c>
      <c r="E7" s="3">
        <v>207292</v>
      </c>
      <c r="H7">
        <v>1740</v>
      </c>
      <c r="I7" t="s">
        <v>91</v>
      </c>
      <c r="J7">
        <v>4</v>
      </c>
      <c r="K7">
        <v>0</v>
      </c>
      <c r="L7">
        <v>207240</v>
      </c>
      <c r="N7" s="3">
        <f t="shared" si="0"/>
        <v>52</v>
      </c>
    </row>
    <row r="8" spans="1:14" x14ac:dyDescent="0.25">
      <c r="A8" s="3">
        <v>1740</v>
      </c>
      <c r="B8" t="s">
        <v>91</v>
      </c>
      <c r="C8" s="3">
        <v>4</v>
      </c>
      <c r="D8" s="3">
        <v>1</v>
      </c>
      <c r="E8" s="3">
        <v>54415</v>
      </c>
      <c r="H8">
        <v>1740</v>
      </c>
      <c r="I8" t="s">
        <v>91</v>
      </c>
      <c r="J8">
        <v>4</v>
      </c>
      <c r="K8">
        <v>1</v>
      </c>
      <c r="L8">
        <v>54477</v>
      </c>
      <c r="N8" s="3">
        <f t="shared" si="0"/>
        <v>-62</v>
      </c>
    </row>
    <row r="9" spans="1:14" x14ac:dyDescent="0.25">
      <c r="A9" s="3">
        <v>1740</v>
      </c>
      <c r="B9" t="s">
        <v>91</v>
      </c>
      <c r="C9" s="3">
        <v>5</v>
      </c>
      <c r="D9" s="3">
        <v>0</v>
      </c>
      <c r="E9" s="3">
        <v>190861</v>
      </c>
      <c r="H9">
        <v>1740</v>
      </c>
      <c r="I9" t="s">
        <v>91</v>
      </c>
      <c r="J9">
        <v>5</v>
      </c>
      <c r="K9">
        <v>0</v>
      </c>
      <c r="L9">
        <v>190869</v>
      </c>
      <c r="N9" s="3">
        <f t="shared" si="0"/>
        <v>-8</v>
      </c>
    </row>
    <row r="10" spans="1:14" x14ac:dyDescent="0.25">
      <c r="A10" s="3">
        <v>1740</v>
      </c>
      <c r="B10" t="s">
        <v>91</v>
      </c>
      <c r="C10" s="3">
        <v>5</v>
      </c>
      <c r="D10" s="3">
        <v>1</v>
      </c>
      <c r="E10" s="3">
        <v>70846</v>
      </c>
      <c r="H10">
        <v>1740</v>
      </c>
      <c r="I10" t="s">
        <v>91</v>
      </c>
      <c r="J10">
        <v>5</v>
      </c>
      <c r="K10">
        <v>1</v>
      </c>
      <c r="L10">
        <v>70848</v>
      </c>
      <c r="N10" s="3">
        <f t="shared" si="0"/>
        <v>-2</v>
      </c>
    </row>
    <row r="11" spans="1:14" x14ac:dyDescent="0.25">
      <c r="A11" s="3">
        <v>1740</v>
      </c>
      <c r="B11" t="s">
        <v>91</v>
      </c>
      <c r="C11" s="3">
        <v>6</v>
      </c>
      <c r="D11" s="3">
        <v>0</v>
      </c>
      <c r="E11" s="3">
        <v>176252</v>
      </c>
      <c r="H11">
        <v>1740</v>
      </c>
      <c r="I11" t="s">
        <v>91</v>
      </c>
      <c r="J11">
        <v>6</v>
      </c>
      <c r="K11">
        <v>0</v>
      </c>
      <c r="L11">
        <v>176195</v>
      </c>
      <c r="N11" s="3">
        <f t="shared" si="0"/>
        <v>57</v>
      </c>
    </row>
    <row r="12" spans="1:14" x14ac:dyDescent="0.25">
      <c r="A12" s="3">
        <v>1740</v>
      </c>
      <c r="B12" t="s">
        <v>91</v>
      </c>
      <c r="C12" s="3">
        <v>6</v>
      </c>
      <c r="D12" s="3">
        <v>1</v>
      </c>
      <c r="E12" s="3">
        <v>85455</v>
      </c>
      <c r="H12">
        <v>1740</v>
      </c>
      <c r="I12" t="s">
        <v>91</v>
      </c>
      <c r="J12">
        <v>6</v>
      </c>
      <c r="K12">
        <v>1</v>
      </c>
      <c r="L12">
        <v>85522</v>
      </c>
      <c r="N12" s="3">
        <f t="shared" si="0"/>
        <v>-67</v>
      </c>
    </row>
    <row r="13" spans="1:14" x14ac:dyDescent="0.25">
      <c r="A13" s="3">
        <v>1740</v>
      </c>
      <c r="B13" t="s">
        <v>91</v>
      </c>
      <c r="C13" s="3">
        <v>7</v>
      </c>
      <c r="D13" s="3">
        <v>0</v>
      </c>
      <c r="E13" s="3">
        <v>163215</v>
      </c>
      <c r="H13">
        <v>1740</v>
      </c>
      <c r="I13" t="s">
        <v>91</v>
      </c>
      <c r="J13">
        <v>7</v>
      </c>
      <c r="K13">
        <v>0</v>
      </c>
      <c r="L13">
        <v>163123</v>
      </c>
      <c r="N13" s="3">
        <f t="shared" si="0"/>
        <v>92</v>
      </c>
    </row>
    <row r="14" spans="1:14" x14ac:dyDescent="0.25">
      <c r="A14" s="3">
        <v>1740</v>
      </c>
      <c r="B14" t="s">
        <v>91</v>
      </c>
      <c r="C14" s="3">
        <v>7</v>
      </c>
      <c r="D14" s="3">
        <v>1</v>
      </c>
      <c r="E14" s="3">
        <v>98492</v>
      </c>
      <c r="H14">
        <v>1740</v>
      </c>
      <c r="I14" t="s">
        <v>91</v>
      </c>
      <c r="J14">
        <v>7</v>
      </c>
      <c r="K14">
        <v>1</v>
      </c>
      <c r="L14">
        <v>98594</v>
      </c>
      <c r="N14" s="3">
        <f t="shared" si="0"/>
        <v>-102</v>
      </c>
    </row>
    <row r="15" spans="1:14" x14ac:dyDescent="0.25">
      <c r="A15" s="3">
        <v>1740</v>
      </c>
      <c r="B15" t="s">
        <v>91</v>
      </c>
      <c r="C15" s="3">
        <v>8</v>
      </c>
      <c r="D15" s="3">
        <v>0</v>
      </c>
      <c r="E15" s="3">
        <v>151153</v>
      </c>
      <c r="H15">
        <v>1740</v>
      </c>
      <c r="I15" t="s">
        <v>91</v>
      </c>
      <c r="J15">
        <v>8</v>
      </c>
      <c r="K15">
        <v>0</v>
      </c>
      <c r="L15">
        <v>151136</v>
      </c>
      <c r="N15" s="3">
        <f t="shared" si="0"/>
        <v>17</v>
      </c>
    </row>
    <row r="16" spans="1:14" x14ac:dyDescent="0.25">
      <c r="A16" s="3">
        <v>1740</v>
      </c>
      <c r="B16" t="s">
        <v>91</v>
      </c>
      <c r="C16" s="3">
        <v>8</v>
      </c>
      <c r="D16" s="3">
        <v>1</v>
      </c>
      <c r="E16" s="3">
        <v>110554</v>
      </c>
      <c r="H16">
        <v>1740</v>
      </c>
      <c r="I16" t="s">
        <v>91</v>
      </c>
      <c r="J16">
        <v>8</v>
      </c>
      <c r="K16">
        <v>1</v>
      </c>
      <c r="L16">
        <v>110581</v>
      </c>
      <c r="N16" s="3">
        <f t="shared" si="0"/>
        <v>-27</v>
      </c>
    </row>
    <row r="17" spans="1:14" x14ac:dyDescent="0.25">
      <c r="A17" s="3">
        <v>1740</v>
      </c>
      <c r="B17" t="s">
        <v>91</v>
      </c>
      <c r="C17" s="3">
        <v>9</v>
      </c>
      <c r="D17" s="3">
        <v>0</v>
      </c>
      <c r="E17" s="3">
        <v>139980</v>
      </c>
      <c r="H17">
        <v>1740</v>
      </c>
      <c r="I17" t="s">
        <v>91</v>
      </c>
      <c r="J17">
        <v>9</v>
      </c>
      <c r="K17">
        <v>0</v>
      </c>
      <c r="L17">
        <v>139917</v>
      </c>
      <c r="N17" s="3">
        <f t="shared" si="0"/>
        <v>63</v>
      </c>
    </row>
    <row r="18" spans="1:14" x14ac:dyDescent="0.25">
      <c r="A18" s="3">
        <v>1740</v>
      </c>
      <c r="B18" t="s">
        <v>91</v>
      </c>
      <c r="C18" s="3">
        <v>9</v>
      </c>
      <c r="D18" s="3">
        <v>1</v>
      </c>
      <c r="E18" s="3">
        <v>121727</v>
      </c>
      <c r="H18">
        <v>1740</v>
      </c>
      <c r="I18" t="s">
        <v>91</v>
      </c>
      <c r="J18">
        <v>9</v>
      </c>
      <c r="K18">
        <v>1</v>
      </c>
      <c r="L18">
        <v>121800</v>
      </c>
      <c r="N18" s="3">
        <f t="shared" si="0"/>
        <v>-73</v>
      </c>
    </row>
    <row r="19" spans="1:14" x14ac:dyDescent="0.25">
      <c r="A19" s="3">
        <v>1740</v>
      </c>
      <c r="B19" t="s">
        <v>91</v>
      </c>
      <c r="C19" s="3">
        <v>10</v>
      </c>
      <c r="D19" s="3">
        <v>0</v>
      </c>
      <c r="E19" s="3">
        <v>128963</v>
      </c>
      <c r="H19">
        <v>1740</v>
      </c>
      <c r="I19" t="s">
        <v>91</v>
      </c>
      <c r="J19">
        <v>10</v>
      </c>
      <c r="K19">
        <v>0</v>
      </c>
      <c r="L19">
        <v>129071</v>
      </c>
      <c r="N19" s="3">
        <f t="shared" si="0"/>
        <v>-108</v>
      </c>
    </row>
    <row r="20" spans="1:14" x14ac:dyDescent="0.25">
      <c r="A20" s="3">
        <v>1740</v>
      </c>
      <c r="B20" t="s">
        <v>91</v>
      </c>
      <c r="C20" s="3">
        <v>10</v>
      </c>
      <c r="D20" s="3">
        <v>1</v>
      </c>
      <c r="E20" s="3">
        <v>132744</v>
      </c>
      <c r="H20">
        <v>1740</v>
      </c>
      <c r="I20" t="s">
        <v>91</v>
      </c>
      <c r="J20">
        <v>10</v>
      </c>
      <c r="K20">
        <v>1</v>
      </c>
      <c r="L20">
        <v>132646</v>
      </c>
      <c r="N20" s="3">
        <f t="shared" si="0"/>
        <v>98</v>
      </c>
    </row>
    <row r="21" spans="1:14" x14ac:dyDescent="0.25">
      <c r="A21" s="3">
        <v>1740</v>
      </c>
      <c r="B21" t="s">
        <v>91</v>
      </c>
      <c r="C21" s="3">
        <v>11</v>
      </c>
      <c r="D21" s="3">
        <v>0</v>
      </c>
      <c r="E21" s="3">
        <v>118496</v>
      </c>
      <c r="H21">
        <v>1740</v>
      </c>
      <c r="I21" t="s">
        <v>91</v>
      </c>
      <c r="J21">
        <v>11</v>
      </c>
      <c r="K21">
        <v>0</v>
      </c>
      <c r="L21">
        <v>118566</v>
      </c>
      <c r="N21" s="3">
        <f t="shared" si="0"/>
        <v>-70</v>
      </c>
    </row>
    <row r="22" spans="1:14" x14ac:dyDescent="0.25">
      <c r="A22" s="3">
        <v>1740</v>
      </c>
      <c r="B22" t="s">
        <v>91</v>
      </c>
      <c r="C22" s="3">
        <v>11</v>
      </c>
      <c r="D22" s="3">
        <v>1</v>
      </c>
      <c r="E22" s="3">
        <v>143211</v>
      </c>
      <c r="H22">
        <v>1740</v>
      </c>
      <c r="I22" t="s">
        <v>91</v>
      </c>
      <c r="J22">
        <v>11</v>
      </c>
      <c r="K22">
        <v>1</v>
      </c>
      <c r="L22">
        <v>143151</v>
      </c>
      <c r="N22" s="3">
        <f t="shared" si="0"/>
        <v>60</v>
      </c>
    </row>
    <row r="23" spans="1:14" x14ac:dyDescent="0.25">
      <c r="A23" s="3">
        <v>1740</v>
      </c>
      <c r="B23" t="s">
        <v>91</v>
      </c>
      <c r="C23" s="3">
        <v>12</v>
      </c>
      <c r="D23" s="3">
        <v>0</v>
      </c>
      <c r="E23" s="3">
        <v>108106</v>
      </c>
      <c r="H23">
        <v>1740</v>
      </c>
      <c r="I23" t="s">
        <v>91</v>
      </c>
      <c r="J23">
        <v>12</v>
      </c>
      <c r="K23">
        <v>0</v>
      </c>
      <c r="L23">
        <v>108315</v>
      </c>
      <c r="N23" s="3">
        <f t="shared" si="0"/>
        <v>-209</v>
      </c>
    </row>
    <row r="24" spans="1:14" x14ac:dyDescent="0.25">
      <c r="A24" s="3">
        <v>1740</v>
      </c>
      <c r="B24" t="s">
        <v>91</v>
      </c>
      <c r="C24" s="3">
        <v>12</v>
      </c>
      <c r="D24" s="3">
        <v>1</v>
      </c>
      <c r="E24" s="3">
        <v>153601</v>
      </c>
      <c r="H24">
        <v>1740</v>
      </c>
      <c r="I24" t="s">
        <v>91</v>
      </c>
      <c r="J24">
        <v>12</v>
      </c>
      <c r="K24">
        <v>1</v>
      </c>
      <c r="L24">
        <v>153402</v>
      </c>
      <c r="N24" s="3">
        <f t="shared" si="0"/>
        <v>199</v>
      </c>
    </row>
    <row r="25" spans="1:14" x14ac:dyDescent="0.25">
      <c r="A25" s="3">
        <v>1741</v>
      </c>
      <c r="C25" s="3">
        <v>1</v>
      </c>
      <c r="D25" s="3">
        <v>0</v>
      </c>
      <c r="E25" s="3">
        <v>255562</v>
      </c>
      <c r="H25">
        <v>1741</v>
      </c>
      <c r="J25">
        <v>1</v>
      </c>
      <c r="K25">
        <v>0</v>
      </c>
      <c r="L25">
        <v>255556</v>
      </c>
      <c r="N25" s="3">
        <f t="shared" si="0"/>
        <v>6</v>
      </c>
    </row>
    <row r="26" spans="1:14" x14ac:dyDescent="0.25">
      <c r="A26" s="3">
        <v>1741</v>
      </c>
      <c r="C26" s="3">
        <v>2</v>
      </c>
      <c r="D26" s="3">
        <v>0</v>
      </c>
      <c r="E26" s="3">
        <v>255562</v>
      </c>
      <c r="H26">
        <v>1741</v>
      </c>
      <c r="J26">
        <v>2</v>
      </c>
      <c r="K26">
        <v>0</v>
      </c>
      <c r="L26">
        <v>255556</v>
      </c>
      <c r="N26" s="3">
        <f t="shared" si="0"/>
        <v>6</v>
      </c>
    </row>
    <row r="27" spans="1:14" x14ac:dyDescent="0.25">
      <c r="A27" s="3">
        <v>1741</v>
      </c>
      <c r="B27" t="s">
        <v>91</v>
      </c>
      <c r="C27" s="3">
        <v>3</v>
      </c>
      <c r="D27" s="3">
        <v>0</v>
      </c>
      <c r="E27" s="3">
        <v>221077</v>
      </c>
      <c r="H27">
        <v>1741</v>
      </c>
      <c r="I27" t="s">
        <v>91</v>
      </c>
      <c r="J27">
        <v>3</v>
      </c>
      <c r="K27">
        <v>0</v>
      </c>
      <c r="L27">
        <v>220832</v>
      </c>
      <c r="N27" s="3">
        <f t="shared" si="0"/>
        <v>245</v>
      </c>
    </row>
    <row r="28" spans="1:14" x14ac:dyDescent="0.25">
      <c r="A28" s="3">
        <v>1741</v>
      </c>
      <c r="B28" t="s">
        <v>91</v>
      </c>
      <c r="C28" s="3">
        <v>3</v>
      </c>
      <c r="D28" s="3">
        <v>1</v>
      </c>
      <c r="E28" s="3">
        <v>34485</v>
      </c>
      <c r="H28">
        <v>1741</v>
      </c>
      <c r="I28" t="s">
        <v>91</v>
      </c>
      <c r="J28">
        <v>3</v>
      </c>
      <c r="K28">
        <v>1</v>
      </c>
      <c r="L28">
        <v>34724</v>
      </c>
      <c r="N28" s="3">
        <f t="shared" si="0"/>
        <v>-239</v>
      </c>
    </row>
    <row r="29" spans="1:14" x14ac:dyDescent="0.25">
      <c r="A29" s="3">
        <v>1741</v>
      </c>
      <c r="B29" t="s">
        <v>91</v>
      </c>
      <c r="C29" s="3">
        <v>4</v>
      </c>
      <c r="D29" s="3">
        <v>0</v>
      </c>
      <c r="E29" s="3">
        <v>202740</v>
      </c>
      <c r="H29">
        <v>1741</v>
      </c>
      <c r="I29" t="s">
        <v>91</v>
      </c>
      <c r="J29">
        <v>4</v>
      </c>
      <c r="K29">
        <v>0</v>
      </c>
      <c r="L29">
        <v>202399</v>
      </c>
      <c r="N29" s="3">
        <f t="shared" si="0"/>
        <v>341</v>
      </c>
    </row>
    <row r="30" spans="1:14" x14ac:dyDescent="0.25">
      <c r="A30" s="3">
        <v>1741</v>
      </c>
      <c r="B30" t="s">
        <v>91</v>
      </c>
      <c r="C30" s="3">
        <v>4</v>
      </c>
      <c r="D30" s="3">
        <v>1</v>
      </c>
      <c r="E30" s="3">
        <v>52822</v>
      </c>
      <c r="H30">
        <v>1741</v>
      </c>
      <c r="I30" t="s">
        <v>91</v>
      </c>
      <c r="J30">
        <v>4</v>
      </c>
      <c r="K30">
        <v>1</v>
      </c>
      <c r="L30">
        <v>53157</v>
      </c>
      <c r="N30" s="3">
        <f t="shared" si="0"/>
        <v>-335</v>
      </c>
    </row>
    <row r="31" spans="1:14" x14ac:dyDescent="0.25">
      <c r="A31" s="3">
        <v>1741</v>
      </c>
      <c r="B31" t="s">
        <v>91</v>
      </c>
      <c r="C31" s="3">
        <v>5</v>
      </c>
      <c r="D31" s="3">
        <v>0</v>
      </c>
      <c r="E31" s="3">
        <v>186485</v>
      </c>
      <c r="H31">
        <v>1741</v>
      </c>
      <c r="I31" t="s">
        <v>91</v>
      </c>
      <c r="J31">
        <v>5</v>
      </c>
      <c r="K31">
        <v>0</v>
      </c>
      <c r="L31">
        <v>186356</v>
      </c>
      <c r="N31" s="3">
        <f t="shared" si="0"/>
        <v>129</v>
      </c>
    </row>
    <row r="32" spans="1:14" x14ac:dyDescent="0.25">
      <c r="A32" s="3">
        <v>1741</v>
      </c>
      <c r="B32" t="s">
        <v>91</v>
      </c>
      <c r="C32" s="3">
        <v>5</v>
      </c>
      <c r="D32" s="3">
        <v>1</v>
      </c>
      <c r="E32" s="3">
        <v>69077</v>
      </c>
      <c r="H32">
        <v>1741</v>
      </c>
      <c r="I32" t="s">
        <v>91</v>
      </c>
      <c r="J32">
        <v>5</v>
      </c>
      <c r="K32">
        <v>1</v>
      </c>
      <c r="L32">
        <v>69200</v>
      </c>
      <c r="N32" s="3">
        <f t="shared" si="0"/>
        <v>-123</v>
      </c>
    </row>
    <row r="33" spans="1:14" x14ac:dyDescent="0.25">
      <c r="A33" s="3">
        <v>1741</v>
      </c>
      <c r="B33" t="s">
        <v>91</v>
      </c>
      <c r="C33" s="3">
        <v>6</v>
      </c>
      <c r="D33" s="3">
        <v>0</v>
      </c>
      <c r="E33" s="3">
        <v>172392</v>
      </c>
      <c r="H33">
        <v>1741</v>
      </c>
      <c r="I33" t="s">
        <v>91</v>
      </c>
      <c r="J33">
        <v>6</v>
      </c>
      <c r="K33">
        <v>0</v>
      </c>
      <c r="L33">
        <v>171936</v>
      </c>
      <c r="N33" s="3">
        <f t="shared" si="0"/>
        <v>456</v>
      </c>
    </row>
    <row r="34" spans="1:14" x14ac:dyDescent="0.25">
      <c r="A34" s="3">
        <v>1741</v>
      </c>
      <c r="B34" t="s">
        <v>91</v>
      </c>
      <c r="C34" s="3">
        <v>6</v>
      </c>
      <c r="D34" s="3">
        <v>1</v>
      </c>
      <c r="E34" s="3">
        <v>83170</v>
      </c>
      <c r="H34">
        <v>1741</v>
      </c>
      <c r="I34" t="s">
        <v>91</v>
      </c>
      <c r="J34">
        <v>6</v>
      </c>
      <c r="K34">
        <v>1</v>
      </c>
      <c r="L34">
        <v>83620</v>
      </c>
      <c r="N34" s="3">
        <f t="shared" si="0"/>
        <v>-450</v>
      </c>
    </row>
    <row r="35" spans="1:14" x14ac:dyDescent="0.25">
      <c r="A35" s="3">
        <v>1741</v>
      </c>
      <c r="B35" t="s">
        <v>91</v>
      </c>
      <c r="C35" s="3">
        <v>7</v>
      </c>
      <c r="D35" s="3">
        <v>0</v>
      </c>
      <c r="E35" s="3">
        <v>159529</v>
      </c>
      <c r="H35">
        <v>1741</v>
      </c>
      <c r="I35" t="s">
        <v>91</v>
      </c>
      <c r="J35">
        <v>7</v>
      </c>
      <c r="K35">
        <v>0</v>
      </c>
      <c r="L35">
        <v>159026</v>
      </c>
      <c r="N35" s="3">
        <f t="shared" si="0"/>
        <v>503</v>
      </c>
    </row>
    <row r="36" spans="1:14" x14ac:dyDescent="0.25">
      <c r="A36" s="3">
        <v>1741</v>
      </c>
      <c r="B36" t="s">
        <v>91</v>
      </c>
      <c r="C36" s="3">
        <v>7</v>
      </c>
      <c r="D36" s="3">
        <v>1</v>
      </c>
      <c r="E36" s="3">
        <v>96033</v>
      </c>
      <c r="H36">
        <v>1741</v>
      </c>
      <c r="I36" t="s">
        <v>91</v>
      </c>
      <c r="J36">
        <v>7</v>
      </c>
      <c r="K36">
        <v>1</v>
      </c>
      <c r="L36">
        <v>96530</v>
      </c>
      <c r="N36" s="3">
        <f t="shared" si="0"/>
        <v>-497</v>
      </c>
    </row>
    <row r="37" spans="1:14" x14ac:dyDescent="0.25">
      <c r="A37" s="3">
        <v>1741</v>
      </c>
      <c r="B37" t="s">
        <v>91</v>
      </c>
      <c r="C37" s="3">
        <v>8</v>
      </c>
      <c r="D37" s="3">
        <v>0</v>
      </c>
      <c r="E37" s="3">
        <v>147794</v>
      </c>
      <c r="H37">
        <v>1741</v>
      </c>
      <c r="I37" t="s">
        <v>91</v>
      </c>
      <c r="J37">
        <v>8</v>
      </c>
      <c r="K37">
        <v>0</v>
      </c>
      <c r="L37">
        <v>147329</v>
      </c>
      <c r="N37" s="3">
        <f t="shared" si="0"/>
        <v>465</v>
      </c>
    </row>
    <row r="38" spans="1:14" x14ac:dyDescent="0.25">
      <c r="A38" s="3">
        <v>1741</v>
      </c>
      <c r="B38" t="s">
        <v>91</v>
      </c>
      <c r="C38" s="3">
        <v>8</v>
      </c>
      <c r="D38" s="3">
        <v>1</v>
      </c>
      <c r="E38" s="3">
        <v>107768</v>
      </c>
      <c r="H38">
        <v>1741</v>
      </c>
      <c r="I38" t="s">
        <v>91</v>
      </c>
      <c r="J38">
        <v>8</v>
      </c>
      <c r="K38">
        <v>1</v>
      </c>
      <c r="L38">
        <v>108227</v>
      </c>
      <c r="N38" s="3">
        <f t="shared" si="0"/>
        <v>-459</v>
      </c>
    </row>
    <row r="39" spans="1:14" x14ac:dyDescent="0.25">
      <c r="A39" s="3">
        <v>1741</v>
      </c>
      <c r="B39" t="s">
        <v>91</v>
      </c>
      <c r="C39" s="3">
        <v>9</v>
      </c>
      <c r="D39" s="3">
        <v>0</v>
      </c>
      <c r="E39" s="3">
        <v>136888</v>
      </c>
      <c r="H39">
        <v>1741</v>
      </c>
      <c r="I39" t="s">
        <v>91</v>
      </c>
      <c r="J39">
        <v>9</v>
      </c>
      <c r="K39">
        <v>0</v>
      </c>
      <c r="L39">
        <v>136302</v>
      </c>
      <c r="N39" s="3">
        <f t="shared" si="0"/>
        <v>586</v>
      </c>
    </row>
    <row r="40" spans="1:14" x14ac:dyDescent="0.25">
      <c r="A40" s="3">
        <v>1741</v>
      </c>
      <c r="B40" t="s">
        <v>91</v>
      </c>
      <c r="C40" s="3">
        <v>9</v>
      </c>
      <c r="D40" s="3">
        <v>1</v>
      </c>
      <c r="E40" s="3">
        <v>118674</v>
      </c>
      <c r="H40">
        <v>1741</v>
      </c>
      <c r="I40" t="s">
        <v>91</v>
      </c>
      <c r="J40">
        <v>9</v>
      </c>
      <c r="K40">
        <v>1</v>
      </c>
      <c r="L40">
        <v>119254</v>
      </c>
      <c r="N40" s="3">
        <f t="shared" si="0"/>
        <v>-580</v>
      </c>
    </row>
    <row r="41" spans="1:14" x14ac:dyDescent="0.25">
      <c r="A41" s="3">
        <v>1741</v>
      </c>
      <c r="B41" t="s">
        <v>91</v>
      </c>
      <c r="C41" s="3">
        <v>10</v>
      </c>
      <c r="D41" s="3">
        <v>0</v>
      </c>
      <c r="E41" s="3">
        <v>126221</v>
      </c>
      <c r="H41">
        <v>1741</v>
      </c>
      <c r="I41" t="s">
        <v>91</v>
      </c>
      <c r="J41">
        <v>10</v>
      </c>
      <c r="K41">
        <v>0</v>
      </c>
      <c r="L41">
        <v>125789</v>
      </c>
      <c r="N41" s="3">
        <f t="shared" si="0"/>
        <v>432</v>
      </c>
    </row>
    <row r="42" spans="1:14" x14ac:dyDescent="0.25">
      <c r="A42" s="3">
        <v>1741</v>
      </c>
      <c r="B42" t="s">
        <v>91</v>
      </c>
      <c r="C42" s="3">
        <v>10</v>
      </c>
      <c r="D42" s="3">
        <v>1</v>
      </c>
      <c r="E42" s="3">
        <v>129341</v>
      </c>
      <c r="H42">
        <v>1741</v>
      </c>
      <c r="I42" t="s">
        <v>91</v>
      </c>
      <c r="J42">
        <v>10</v>
      </c>
      <c r="K42">
        <v>1</v>
      </c>
      <c r="L42">
        <v>129767</v>
      </c>
      <c r="N42" s="3">
        <f t="shared" si="0"/>
        <v>-426</v>
      </c>
    </row>
    <row r="43" spans="1:14" x14ac:dyDescent="0.25">
      <c r="A43" s="3">
        <v>1741</v>
      </c>
      <c r="B43" t="s">
        <v>91</v>
      </c>
      <c r="C43" s="3">
        <v>11</v>
      </c>
      <c r="D43" s="3">
        <v>0</v>
      </c>
      <c r="E43" s="3">
        <v>115924</v>
      </c>
      <c r="H43">
        <v>1741</v>
      </c>
      <c r="I43" t="s">
        <v>91</v>
      </c>
      <c r="J43">
        <v>11</v>
      </c>
      <c r="K43">
        <v>0</v>
      </c>
      <c r="L43">
        <v>115603</v>
      </c>
      <c r="N43" s="3">
        <f t="shared" si="0"/>
        <v>321</v>
      </c>
    </row>
    <row r="44" spans="1:14" x14ac:dyDescent="0.25">
      <c r="A44" s="3">
        <v>1741</v>
      </c>
      <c r="B44" t="s">
        <v>91</v>
      </c>
      <c r="C44" s="3">
        <v>11</v>
      </c>
      <c r="D44" s="3">
        <v>1</v>
      </c>
      <c r="E44" s="3">
        <v>139638</v>
      </c>
      <c r="H44">
        <v>1741</v>
      </c>
      <c r="I44" t="s">
        <v>91</v>
      </c>
      <c r="J44">
        <v>11</v>
      </c>
      <c r="K44">
        <v>1</v>
      </c>
      <c r="L44">
        <v>139953</v>
      </c>
      <c r="N44" s="3">
        <f t="shared" si="0"/>
        <v>-315</v>
      </c>
    </row>
    <row r="45" spans="1:14" x14ac:dyDescent="0.25">
      <c r="A45" s="3">
        <v>1741</v>
      </c>
      <c r="B45" t="s">
        <v>91</v>
      </c>
      <c r="C45" s="3">
        <v>12</v>
      </c>
      <c r="D45" s="3">
        <v>0</v>
      </c>
      <c r="E45" s="3">
        <v>105854</v>
      </c>
      <c r="H45">
        <v>1741</v>
      </c>
      <c r="I45" t="s">
        <v>91</v>
      </c>
      <c r="J45">
        <v>12</v>
      </c>
      <c r="K45">
        <v>0</v>
      </c>
      <c r="L45">
        <v>105522</v>
      </c>
      <c r="N45" s="3">
        <f t="shared" si="0"/>
        <v>332</v>
      </c>
    </row>
    <row r="46" spans="1:14" x14ac:dyDescent="0.25">
      <c r="A46" s="3">
        <v>1741</v>
      </c>
      <c r="B46" t="s">
        <v>91</v>
      </c>
      <c r="C46" s="3">
        <v>12</v>
      </c>
      <c r="D46" s="3">
        <v>1</v>
      </c>
      <c r="E46" s="3">
        <v>149708</v>
      </c>
      <c r="H46">
        <v>1741</v>
      </c>
      <c r="I46" t="s">
        <v>91</v>
      </c>
      <c r="J46">
        <v>12</v>
      </c>
      <c r="K46">
        <v>1</v>
      </c>
      <c r="L46">
        <v>150034</v>
      </c>
      <c r="N46" s="3">
        <f t="shared" si="0"/>
        <v>-326</v>
      </c>
    </row>
    <row r="47" spans="1:14" x14ac:dyDescent="0.25">
      <c r="A47" s="3">
        <v>1742</v>
      </c>
      <c r="C47" s="3">
        <v>1</v>
      </c>
      <c r="D47" s="3">
        <v>0</v>
      </c>
      <c r="E47" s="3">
        <v>255564</v>
      </c>
      <c r="H47">
        <v>1742</v>
      </c>
      <c r="J47">
        <v>1</v>
      </c>
      <c r="K47">
        <v>0</v>
      </c>
      <c r="L47">
        <v>255564</v>
      </c>
      <c r="N47" s="3">
        <f t="shared" si="0"/>
        <v>0</v>
      </c>
    </row>
    <row r="48" spans="1:14" x14ac:dyDescent="0.25">
      <c r="A48" s="3">
        <v>1742</v>
      </c>
      <c r="C48" s="3">
        <v>2</v>
      </c>
      <c r="D48" s="3">
        <v>0</v>
      </c>
      <c r="E48" s="3">
        <v>255564</v>
      </c>
      <c r="H48">
        <v>1742</v>
      </c>
      <c r="J48">
        <v>2</v>
      </c>
      <c r="K48">
        <v>0</v>
      </c>
      <c r="L48">
        <v>255564</v>
      </c>
      <c r="N48" s="3">
        <f t="shared" si="0"/>
        <v>0</v>
      </c>
    </row>
    <row r="49" spans="1:14" x14ac:dyDescent="0.25">
      <c r="A49" s="3">
        <v>1742</v>
      </c>
      <c r="B49" t="s">
        <v>91</v>
      </c>
      <c r="C49" s="3">
        <v>3</v>
      </c>
      <c r="D49" s="3">
        <v>0</v>
      </c>
      <c r="E49" s="3">
        <v>220952</v>
      </c>
      <c r="H49">
        <v>1742</v>
      </c>
      <c r="I49" t="s">
        <v>91</v>
      </c>
      <c r="J49">
        <v>3</v>
      </c>
      <c r="K49">
        <v>0</v>
      </c>
      <c r="L49">
        <v>220915</v>
      </c>
      <c r="N49" s="3">
        <f t="shared" si="0"/>
        <v>37</v>
      </c>
    </row>
    <row r="50" spans="1:14" x14ac:dyDescent="0.25">
      <c r="A50" s="3">
        <v>1742</v>
      </c>
      <c r="B50" t="s">
        <v>91</v>
      </c>
      <c r="C50" s="3">
        <v>3</v>
      </c>
      <c r="D50" s="3">
        <v>1</v>
      </c>
      <c r="E50" s="3">
        <v>34612</v>
      </c>
      <c r="H50">
        <v>1742</v>
      </c>
      <c r="I50" t="s">
        <v>91</v>
      </c>
      <c r="J50">
        <v>3</v>
      </c>
      <c r="K50">
        <v>1</v>
      </c>
      <c r="L50">
        <v>34649</v>
      </c>
      <c r="N50" s="3">
        <f t="shared" si="0"/>
        <v>-37</v>
      </c>
    </row>
    <row r="51" spans="1:14" x14ac:dyDescent="0.25">
      <c r="A51" s="3">
        <v>1742</v>
      </c>
      <c r="B51" t="s">
        <v>91</v>
      </c>
      <c r="C51" s="3">
        <v>4</v>
      </c>
      <c r="D51" s="3">
        <v>0</v>
      </c>
      <c r="E51" s="3">
        <v>202333</v>
      </c>
      <c r="H51">
        <v>1742</v>
      </c>
      <c r="I51" t="s">
        <v>91</v>
      </c>
      <c r="J51">
        <v>4</v>
      </c>
      <c r="K51">
        <v>0</v>
      </c>
      <c r="L51">
        <v>202441</v>
      </c>
      <c r="N51" s="3">
        <f t="shared" si="0"/>
        <v>-108</v>
      </c>
    </row>
    <row r="52" spans="1:14" x14ac:dyDescent="0.25">
      <c r="A52" s="3">
        <v>1742</v>
      </c>
      <c r="B52" t="s">
        <v>91</v>
      </c>
      <c r="C52" s="3">
        <v>4</v>
      </c>
      <c r="D52" s="3">
        <v>1</v>
      </c>
      <c r="E52" s="3">
        <v>53231</v>
      </c>
      <c r="H52">
        <v>1742</v>
      </c>
      <c r="I52" t="s">
        <v>91</v>
      </c>
      <c r="J52">
        <v>4</v>
      </c>
      <c r="K52">
        <v>1</v>
      </c>
      <c r="L52">
        <v>53123</v>
      </c>
      <c r="N52" s="3">
        <f t="shared" si="0"/>
        <v>108</v>
      </c>
    </row>
    <row r="53" spans="1:14" x14ac:dyDescent="0.25">
      <c r="A53" s="3">
        <v>1742</v>
      </c>
      <c r="B53" t="s">
        <v>91</v>
      </c>
      <c r="C53" s="3">
        <v>5</v>
      </c>
      <c r="D53" s="3">
        <v>0</v>
      </c>
      <c r="E53" s="3">
        <v>186308</v>
      </c>
      <c r="H53">
        <v>1742</v>
      </c>
      <c r="I53" t="s">
        <v>91</v>
      </c>
      <c r="J53">
        <v>5</v>
      </c>
      <c r="K53">
        <v>0</v>
      </c>
      <c r="L53">
        <v>186560</v>
      </c>
      <c r="N53" s="3">
        <f t="shared" si="0"/>
        <v>-252</v>
      </c>
    </row>
    <row r="54" spans="1:14" x14ac:dyDescent="0.25">
      <c r="A54" s="3">
        <v>1742</v>
      </c>
      <c r="B54" t="s">
        <v>91</v>
      </c>
      <c r="C54" s="3">
        <v>5</v>
      </c>
      <c r="D54" s="3">
        <v>1</v>
      </c>
      <c r="E54" s="3">
        <v>69256</v>
      </c>
      <c r="H54">
        <v>1742</v>
      </c>
      <c r="I54" t="s">
        <v>91</v>
      </c>
      <c r="J54">
        <v>5</v>
      </c>
      <c r="K54">
        <v>1</v>
      </c>
      <c r="L54">
        <v>69004</v>
      </c>
      <c r="N54" s="3">
        <f t="shared" si="0"/>
        <v>252</v>
      </c>
    </row>
    <row r="55" spans="1:14" x14ac:dyDescent="0.25">
      <c r="A55" s="3">
        <v>1742</v>
      </c>
      <c r="B55" t="s">
        <v>91</v>
      </c>
      <c r="C55" s="3">
        <v>6</v>
      </c>
      <c r="D55" s="3">
        <v>0</v>
      </c>
      <c r="E55" s="3">
        <v>172106</v>
      </c>
      <c r="H55">
        <v>1742</v>
      </c>
      <c r="I55" t="s">
        <v>91</v>
      </c>
      <c r="J55">
        <v>6</v>
      </c>
      <c r="K55">
        <v>0</v>
      </c>
      <c r="L55">
        <v>172498</v>
      </c>
      <c r="N55" s="3">
        <f t="shared" si="0"/>
        <v>-392</v>
      </c>
    </row>
    <row r="56" spans="1:14" x14ac:dyDescent="0.25">
      <c r="A56" s="3">
        <v>1742</v>
      </c>
      <c r="B56" t="s">
        <v>91</v>
      </c>
      <c r="C56" s="3">
        <v>6</v>
      </c>
      <c r="D56" s="3">
        <v>1</v>
      </c>
      <c r="E56" s="3">
        <v>83458</v>
      </c>
      <c r="H56">
        <v>1742</v>
      </c>
      <c r="I56" t="s">
        <v>91</v>
      </c>
      <c r="J56">
        <v>6</v>
      </c>
      <c r="K56">
        <v>1</v>
      </c>
      <c r="L56">
        <v>83066</v>
      </c>
      <c r="N56" s="3">
        <f t="shared" si="0"/>
        <v>392</v>
      </c>
    </row>
    <row r="57" spans="1:14" x14ac:dyDescent="0.25">
      <c r="A57" s="3">
        <v>1742</v>
      </c>
      <c r="B57" t="s">
        <v>91</v>
      </c>
      <c r="C57" s="3">
        <v>7</v>
      </c>
      <c r="D57" s="3">
        <v>0</v>
      </c>
      <c r="E57" s="3">
        <v>159400</v>
      </c>
      <c r="H57">
        <v>1742</v>
      </c>
      <c r="I57" t="s">
        <v>91</v>
      </c>
      <c r="J57">
        <v>7</v>
      </c>
      <c r="K57">
        <v>0</v>
      </c>
      <c r="L57">
        <v>159742</v>
      </c>
      <c r="N57" s="3">
        <f t="shared" si="0"/>
        <v>-342</v>
      </c>
    </row>
    <row r="58" spans="1:14" x14ac:dyDescent="0.25">
      <c r="A58" s="3">
        <v>1742</v>
      </c>
      <c r="B58" t="s">
        <v>91</v>
      </c>
      <c r="C58" s="3">
        <v>7</v>
      </c>
      <c r="D58" s="3">
        <v>1</v>
      </c>
      <c r="E58" s="3">
        <v>96164</v>
      </c>
      <c r="H58">
        <v>1742</v>
      </c>
      <c r="I58" t="s">
        <v>91</v>
      </c>
      <c r="J58">
        <v>7</v>
      </c>
      <c r="K58">
        <v>1</v>
      </c>
      <c r="L58">
        <v>95822</v>
      </c>
      <c r="N58" s="3">
        <f t="shared" si="0"/>
        <v>342</v>
      </c>
    </row>
    <row r="59" spans="1:14" x14ac:dyDescent="0.25">
      <c r="A59" s="3">
        <v>1742</v>
      </c>
      <c r="B59" t="s">
        <v>91</v>
      </c>
      <c r="C59" s="3">
        <v>8</v>
      </c>
      <c r="D59" s="3">
        <v>0</v>
      </c>
      <c r="E59" s="3">
        <v>147574</v>
      </c>
      <c r="H59">
        <v>1742</v>
      </c>
      <c r="I59" t="s">
        <v>91</v>
      </c>
      <c r="J59">
        <v>8</v>
      </c>
      <c r="K59">
        <v>0</v>
      </c>
      <c r="L59">
        <v>147836</v>
      </c>
      <c r="N59" s="3">
        <f t="shared" si="0"/>
        <v>-262</v>
      </c>
    </row>
    <row r="60" spans="1:14" x14ac:dyDescent="0.25">
      <c r="A60" s="3">
        <v>1742</v>
      </c>
      <c r="B60" t="s">
        <v>91</v>
      </c>
      <c r="C60" s="3">
        <v>8</v>
      </c>
      <c r="D60" s="3">
        <v>1</v>
      </c>
      <c r="E60" s="3">
        <v>107990</v>
      </c>
      <c r="H60">
        <v>1742</v>
      </c>
      <c r="I60" t="s">
        <v>91</v>
      </c>
      <c r="J60">
        <v>8</v>
      </c>
      <c r="K60">
        <v>1</v>
      </c>
      <c r="L60">
        <v>107728</v>
      </c>
      <c r="N60" s="3">
        <f t="shared" si="0"/>
        <v>262</v>
      </c>
    </row>
    <row r="61" spans="1:14" x14ac:dyDescent="0.25">
      <c r="A61" s="3">
        <v>1742</v>
      </c>
      <c r="B61" t="s">
        <v>91</v>
      </c>
      <c r="C61" s="3">
        <v>9</v>
      </c>
      <c r="D61" s="3">
        <v>0</v>
      </c>
      <c r="E61" s="3">
        <v>136552</v>
      </c>
      <c r="H61">
        <v>1742</v>
      </c>
      <c r="I61" t="s">
        <v>91</v>
      </c>
      <c r="J61">
        <v>9</v>
      </c>
      <c r="K61">
        <v>0</v>
      </c>
      <c r="L61">
        <v>137055</v>
      </c>
      <c r="N61" s="3">
        <f t="shared" si="0"/>
        <v>-503</v>
      </c>
    </row>
    <row r="62" spans="1:14" x14ac:dyDescent="0.25">
      <c r="A62" s="3">
        <v>1742</v>
      </c>
      <c r="B62" t="s">
        <v>91</v>
      </c>
      <c r="C62" s="3">
        <v>9</v>
      </c>
      <c r="D62" s="3">
        <v>1</v>
      </c>
      <c r="E62" s="3">
        <v>119012</v>
      </c>
      <c r="H62">
        <v>1742</v>
      </c>
      <c r="I62" t="s">
        <v>91</v>
      </c>
      <c r="J62">
        <v>9</v>
      </c>
      <c r="K62">
        <v>1</v>
      </c>
      <c r="L62">
        <v>118509</v>
      </c>
      <c r="N62" s="3">
        <f t="shared" si="0"/>
        <v>503</v>
      </c>
    </row>
    <row r="63" spans="1:14" x14ac:dyDescent="0.25">
      <c r="A63" s="3">
        <v>1742</v>
      </c>
      <c r="B63" t="s">
        <v>91</v>
      </c>
      <c r="C63" s="3">
        <v>10</v>
      </c>
      <c r="D63" s="3">
        <v>0</v>
      </c>
      <c r="E63" s="3">
        <v>125926</v>
      </c>
      <c r="H63">
        <v>1742</v>
      </c>
      <c r="I63" t="s">
        <v>91</v>
      </c>
      <c r="J63">
        <v>10</v>
      </c>
      <c r="K63">
        <v>0</v>
      </c>
      <c r="L63">
        <v>126357</v>
      </c>
      <c r="N63" s="3">
        <f t="shared" si="0"/>
        <v>-431</v>
      </c>
    </row>
    <row r="64" spans="1:14" x14ac:dyDescent="0.25">
      <c r="A64" s="3">
        <v>1742</v>
      </c>
      <c r="B64" t="s">
        <v>91</v>
      </c>
      <c r="C64" s="3">
        <v>10</v>
      </c>
      <c r="D64" s="3">
        <v>1</v>
      </c>
      <c r="E64" s="3">
        <v>129638</v>
      </c>
      <c r="H64">
        <v>1742</v>
      </c>
      <c r="I64" t="s">
        <v>91</v>
      </c>
      <c r="J64">
        <v>10</v>
      </c>
      <c r="K64">
        <v>1</v>
      </c>
      <c r="L64">
        <v>129207</v>
      </c>
      <c r="N64" s="3">
        <f t="shared" si="0"/>
        <v>431</v>
      </c>
    </row>
    <row r="65" spans="1:14" x14ac:dyDescent="0.25">
      <c r="A65" s="3">
        <v>1742</v>
      </c>
      <c r="B65" t="s">
        <v>91</v>
      </c>
      <c r="C65" s="3">
        <v>11</v>
      </c>
      <c r="D65" s="3">
        <v>0</v>
      </c>
      <c r="E65" s="3">
        <v>115642</v>
      </c>
      <c r="H65">
        <v>1742</v>
      </c>
      <c r="I65" t="s">
        <v>91</v>
      </c>
      <c r="J65">
        <v>11</v>
      </c>
      <c r="K65">
        <v>0</v>
      </c>
      <c r="L65">
        <v>116183</v>
      </c>
      <c r="N65" s="3">
        <f t="shared" si="0"/>
        <v>-541</v>
      </c>
    </row>
    <row r="66" spans="1:14" x14ac:dyDescent="0.25">
      <c r="A66" s="3">
        <v>1742</v>
      </c>
      <c r="B66" t="s">
        <v>91</v>
      </c>
      <c r="C66" s="3">
        <v>11</v>
      </c>
      <c r="D66" s="3">
        <v>1</v>
      </c>
      <c r="E66" s="3">
        <v>139922</v>
      </c>
      <c r="H66">
        <v>1742</v>
      </c>
      <c r="I66" t="s">
        <v>91</v>
      </c>
      <c r="J66">
        <v>11</v>
      </c>
      <c r="K66">
        <v>1</v>
      </c>
      <c r="L66">
        <v>139381</v>
      </c>
      <c r="N66" s="3">
        <f t="shared" si="0"/>
        <v>541</v>
      </c>
    </row>
    <row r="67" spans="1:14" x14ac:dyDescent="0.25">
      <c r="A67" s="3">
        <v>1742</v>
      </c>
      <c r="B67" t="s">
        <v>91</v>
      </c>
      <c r="C67" s="3">
        <v>12</v>
      </c>
      <c r="D67" s="3">
        <v>0</v>
      </c>
      <c r="E67" s="3">
        <v>105665</v>
      </c>
      <c r="H67">
        <v>1742</v>
      </c>
      <c r="I67" t="s">
        <v>91</v>
      </c>
      <c r="J67">
        <v>12</v>
      </c>
      <c r="K67">
        <v>0</v>
      </c>
      <c r="L67">
        <v>106162</v>
      </c>
      <c r="N67" s="3">
        <f t="shared" si="0"/>
        <v>-497</v>
      </c>
    </row>
    <row r="68" spans="1:14" x14ac:dyDescent="0.25">
      <c r="A68" s="3">
        <v>1742</v>
      </c>
      <c r="B68" t="s">
        <v>91</v>
      </c>
      <c r="C68" s="3">
        <v>12</v>
      </c>
      <c r="D68" s="3">
        <v>1</v>
      </c>
      <c r="E68" s="3">
        <v>149899</v>
      </c>
      <c r="H68">
        <v>1742</v>
      </c>
      <c r="I68" t="s">
        <v>91</v>
      </c>
      <c r="J68">
        <v>12</v>
      </c>
      <c r="K68">
        <v>1</v>
      </c>
      <c r="L68">
        <v>149402</v>
      </c>
      <c r="N68" s="3">
        <f t="shared" ref="N68:N131" si="1">E68-L68</f>
        <v>497</v>
      </c>
    </row>
    <row r="69" spans="1:14" x14ac:dyDescent="0.25">
      <c r="A69" s="3">
        <v>1743</v>
      </c>
      <c r="C69" s="3">
        <v>1</v>
      </c>
      <c r="D69" s="3">
        <v>0</v>
      </c>
      <c r="E69" s="3">
        <v>253008</v>
      </c>
      <c r="H69">
        <v>1743</v>
      </c>
      <c r="J69">
        <v>1</v>
      </c>
      <c r="K69">
        <v>0</v>
      </c>
      <c r="L69">
        <v>253015</v>
      </c>
      <c r="N69" s="3">
        <f t="shared" si="1"/>
        <v>-7</v>
      </c>
    </row>
    <row r="70" spans="1:14" x14ac:dyDescent="0.25">
      <c r="A70" s="3">
        <v>1743</v>
      </c>
      <c r="C70" s="3">
        <v>2</v>
      </c>
      <c r="D70" s="3">
        <v>0</v>
      </c>
      <c r="E70" s="3">
        <v>253008</v>
      </c>
      <c r="H70">
        <v>1743</v>
      </c>
      <c r="J70">
        <v>2</v>
      </c>
      <c r="K70">
        <v>0</v>
      </c>
      <c r="L70">
        <v>253015</v>
      </c>
      <c r="N70" s="3">
        <f t="shared" si="1"/>
        <v>-7</v>
      </c>
    </row>
    <row r="71" spans="1:14" x14ac:dyDescent="0.25">
      <c r="A71" s="3">
        <v>1743</v>
      </c>
      <c r="B71" t="s">
        <v>91</v>
      </c>
      <c r="C71" s="3">
        <v>3</v>
      </c>
      <c r="D71" s="3">
        <v>0</v>
      </c>
      <c r="E71" s="3">
        <v>218584</v>
      </c>
      <c r="H71">
        <v>1743</v>
      </c>
      <c r="I71" t="s">
        <v>91</v>
      </c>
      <c r="J71">
        <v>3</v>
      </c>
      <c r="K71">
        <v>0</v>
      </c>
      <c r="L71">
        <v>218675</v>
      </c>
      <c r="N71" s="3">
        <f t="shared" si="1"/>
        <v>-91</v>
      </c>
    </row>
    <row r="72" spans="1:14" x14ac:dyDescent="0.25">
      <c r="A72" s="3">
        <v>1743</v>
      </c>
      <c r="B72" t="s">
        <v>91</v>
      </c>
      <c r="C72" s="3">
        <v>3</v>
      </c>
      <c r="D72" s="3">
        <v>1</v>
      </c>
      <c r="E72" s="3">
        <v>34424</v>
      </c>
      <c r="H72">
        <v>1743</v>
      </c>
      <c r="I72" t="s">
        <v>91</v>
      </c>
      <c r="J72">
        <v>3</v>
      </c>
      <c r="K72">
        <v>1</v>
      </c>
      <c r="L72">
        <v>34340</v>
      </c>
      <c r="N72" s="3">
        <f t="shared" si="1"/>
        <v>84</v>
      </c>
    </row>
    <row r="73" spans="1:14" x14ac:dyDescent="0.25">
      <c r="A73" s="3">
        <v>1743</v>
      </c>
      <c r="B73" t="s">
        <v>91</v>
      </c>
      <c r="C73" s="3">
        <v>4</v>
      </c>
      <c r="D73" s="3">
        <v>0</v>
      </c>
      <c r="E73" s="3">
        <v>200215</v>
      </c>
      <c r="H73">
        <v>1743</v>
      </c>
      <c r="I73" t="s">
        <v>91</v>
      </c>
      <c r="J73">
        <v>4</v>
      </c>
      <c r="K73">
        <v>0</v>
      </c>
      <c r="L73">
        <v>200385</v>
      </c>
      <c r="N73" s="3">
        <f t="shared" si="1"/>
        <v>-170</v>
      </c>
    </row>
    <row r="74" spans="1:14" x14ac:dyDescent="0.25">
      <c r="A74" s="3">
        <v>1743</v>
      </c>
      <c r="B74" t="s">
        <v>91</v>
      </c>
      <c r="C74" s="3">
        <v>4</v>
      </c>
      <c r="D74" s="3">
        <v>1</v>
      </c>
      <c r="E74" s="3">
        <v>52793</v>
      </c>
      <c r="H74">
        <v>1743</v>
      </c>
      <c r="I74" t="s">
        <v>91</v>
      </c>
      <c r="J74">
        <v>4</v>
      </c>
      <c r="K74">
        <v>1</v>
      </c>
      <c r="L74">
        <v>52630</v>
      </c>
      <c r="N74" s="3">
        <f t="shared" si="1"/>
        <v>163</v>
      </c>
    </row>
    <row r="75" spans="1:14" x14ac:dyDescent="0.25">
      <c r="A75" s="3">
        <v>1743</v>
      </c>
      <c r="B75" t="s">
        <v>91</v>
      </c>
      <c r="C75" s="3">
        <v>5</v>
      </c>
      <c r="D75" s="3">
        <v>0</v>
      </c>
      <c r="E75" s="3">
        <v>184510</v>
      </c>
      <c r="H75">
        <v>1743</v>
      </c>
      <c r="I75" t="s">
        <v>91</v>
      </c>
      <c r="J75">
        <v>5</v>
      </c>
      <c r="K75">
        <v>0</v>
      </c>
      <c r="L75">
        <v>184620</v>
      </c>
      <c r="N75" s="3">
        <f t="shared" si="1"/>
        <v>-110</v>
      </c>
    </row>
    <row r="76" spans="1:14" x14ac:dyDescent="0.25">
      <c r="A76" s="3">
        <v>1743</v>
      </c>
      <c r="B76" t="s">
        <v>91</v>
      </c>
      <c r="C76" s="3">
        <v>5</v>
      </c>
      <c r="D76" s="3">
        <v>1</v>
      </c>
      <c r="E76" s="3">
        <v>68498</v>
      </c>
      <c r="H76">
        <v>1743</v>
      </c>
      <c r="I76" t="s">
        <v>91</v>
      </c>
      <c r="J76">
        <v>5</v>
      </c>
      <c r="K76">
        <v>1</v>
      </c>
      <c r="L76">
        <v>68395</v>
      </c>
      <c r="N76" s="3">
        <f t="shared" si="1"/>
        <v>103</v>
      </c>
    </row>
    <row r="77" spans="1:14" x14ac:dyDescent="0.25">
      <c r="A77" s="3">
        <v>1743</v>
      </c>
      <c r="B77" t="s">
        <v>91</v>
      </c>
      <c r="C77" s="3">
        <v>6</v>
      </c>
      <c r="D77" s="3">
        <v>0</v>
      </c>
      <c r="E77" s="3">
        <v>170506</v>
      </c>
      <c r="H77">
        <v>1743</v>
      </c>
      <c r="I77" t="s">
        <v>91</v>
      </c>
      <c r="J77">
        <v>6</v>
      </c>
      <c r="K77">
        <v>0</v>
      </c>
      <c r="L77">
        <v>170559</v>
      </c>
      <c r="N77" s="3">
        <f t="shared" si="1"/>
        <v>-53</v>
      </c>
    </row>
    <row r="78" spans="1:14" x14ac:dyDescent="0.25">
      <c r="A78" s="3">
        <v>1743</v>
      </c>
      <c r="B78" t="s">
        <v>91</v>
      </c>
      <c r="C78" s="3">
        <v>6</v>
      </c>
      <c r="D78" s="3">
        <v>1</v>
      </c>
      <c r="E78" s="3">
        <v>82502</v>
      </c>
      <c r="H78">
        <v>1743</v>
      </c>
      <c r="I78" t="s">
        <v>91</v>
      </c>
      <c r="J78">
        <v>6</v>
      </c>
      <c r="K78">
        <v>1</v>
      </c>
      <c r="L78">
        <v>82456</v>
      </c>
      <c r="N78" s="3">
        <f t="shared" si="1"/>
        <v>46</v>
      </c>
    </row>
    <row r="79" spans="1:14" x14ac:dyDescent="0.25">
      <c r="A79" s="3">
        <v>1743</v>
      </c>
      <c r="B79" t="s">
        <v>91</v>
      </c>
      <c r="C79" s="3">
        <v>7</v>
      </c>
      <c r="D79" s="3">
        <v>0</v>
      </c>
      <c r="E79" s="3">
        <v>157944</v>
      </c>
      <c r="H79">
        <v>1743</v>
      </c>
      <c r="I79" t="s">
        <v>91</v>
      </c>
      <c r="J79">
        <v>7</v>
      </c>
      <c r="K79">
        <v>0</v>
      </c>
      <c r="L79">
        <v>157913</v>
      </c>
      <c r="N79" s="3">
        <f t="shared" si="1"/>
        <v>31</v>
      </c>
    </row>
    <row r="80" spans="1:14" x14ac:dyDescent="0.25">
      <c r="A80" s="3">
        <v>1743</v>
      </c>
      <c r="B80" t="s">
        <v>91</v>
      </c>
      <c r="C80" s="3">
        <v>7</v>
      </c>
      <c r="D80" s="3">
        <v>1</v>
      </c>
      <c r="E80" s="3">
        <v>95064</v>
      </c>
      <c r="H80">
        <v>1743</v>
      </c>
      <c r="I80" t="s">
        <v>91</v>
      </c>
      <c r="J80">
        <v>7</v>
      </c>
      <c r="K80">
        <v>1</v>
      </c>
      <c r="L80">
        <v>95102</v>
      </c>
      <c r="N80" s="3">
        <f t="shared" si="1"/>
        <v>-38</v>
      </c>
    </row>
    <row r="81" spans="1:14" x14ac:dyDescent="0.25">
      <c r="A81" s="3">
        <v>1743</v>
      </c>
      <c r="B81" t="s">
        <v>91</v>
      </c>
      <c r="C81" s="3">
        <v>8</v>
      </c>
      <c r="D81" s="3">
        <v>0</v>
      </c>
      <c r="E81" s="3">
        <v>146127</v>
      </c>
      <c r="H81">
        <v>1743</v>
      </c>
      <c r="I81" t="s">
        <v>91</v>
      </c>
      <c r="J81">
        <v>8</v>
      </c>
      <c r="K81">
        <v>0</v>
      </c>
      <c r="L81">
        <v>146251</v>
      </c>
      <c r="N81" s="3">
        <f t="shared" si="1"/>
        <v>-124</v>
      </c>
    </row>
    <row r="82" spans="1:14" x14ac:dyDescent="0.25">
      <c r="A82" s="3">
        <v>1743</v>
      </c>
      <c r="B82" t="s">
        <v>91</v>
      </c>
      <c r="C82" s="3">
        <v>8</v>
      </c>
      <c r="D82" s="3">
        <v>1</v>
      </c>
      <c r="E82" s="3">
        <v>106881</v>
      </c>
      <c r="H82">
        <v>1743</v>
      </c>
      <c r="I82" t="s">
        <v>91</v>
      </c>
      <c r="J82">
        <v>8</v>
      </c>
      <c r="K82">
        <v>1</v>
      </c>
      <c r="L82">
        <v>106764</v>
      </c>
      <c r="N82" s="3">
        <f t="shared" si="1"/>
        <v>117</v>
      </c>
    </row>
    <row r="83" spans="1:14" x14ac:dyDescent="0.25">
      <c r="A83" s="3">
        <v>1743</v>
      </c>
      <c r="B83" t="s">
        <v>91</v>
      </c>
      <c r="C83" s="3">
        <v>9</v>
      </c>
      <c r="D83" s="3">
        <v>0</v>
      </c>
      <c r="E83" s="3">
        <v>135231</v>
      </c>
      <c r="H83">
        <v>1743</v>
      </c>
      <c r="I83" t="s">
        <v>91</v>
      </c>
      <c r="J83">
        <v>9</v>
      </c>
      <c r="K83">
        <v>0</v>
      </c>
      <c r="L83">
        <v>135332</v>
      </c>
      <c r="N83" s="3">
        <f t="shared" si="1"/>
        <v>-101</v>
      </c>
    </row>
    <row r="84" spans="1:14" x14ac:dyDescent="0.25">
      <c r="A84" s="3">
        <v>1743</v>
      </c>
      <c r="B84" t="s">
        <v>91</v>
      </c>
      <c r="C84" s="3">
        <v>9</v>
      </c>
      <c r="D84" s="3">
        <v>1</v>
      </c>
      <c r="E84" s="3">
        <v>117777</v>
      </c>
      <c r="H84">
        <v>1743</v>
      </c>
      <c r="I84" t="s">
        <v>91</v>
      </c>
      <c r="J84">
        <v>9</v>
      </c>
      <c r="K84">
        <v>1</v>
      </c>
      <c r="L84">
        <v>117683</v>
      </c>
      <c r="N84" s="3">
        <f t="shared" si="1"/>
        <v>94</v>
      </c>
    </row>
    <row r="85" spans="1:14" x14ac:dyDescent="0.25">
      <c r="A85" s="3">
        <v>1743</v>
      </c>
      <c r="B85" t="s">
        <v>91</v>
      </c>
      <c r="C85" s="3">
        <v>10</v>
      </c>
      <c r="D85" s="3">
        <v>0</v>
      </c>
      <c r="E85" s="3">
        <v>124688</v>
      </c>
      <c r="H85">
        <v>1743</v>
      </c>
      <c r="I85" t="s">
        <v>91</v>
      </c>
      <c r="J85">
        <v>10</v>
      </c>
      <c r="K85">
        <v>0</v>
      </c>
      <c r="L85">
        <v>124894</v>
      </c>
      <c r="N85" s="3">
        <f t="shared" si="1"/>
        <v>-206</v>
      </c>
    </row>
    <row r="86" spans="1:14" x14ac:dyDescent="0.25">
      <c r="A86" s="3">
        <v>1743</v>
      </c>
      <c r="B86" t="s">
        <v>91</v>
      </c>
      <c r="C86" s="3">
        <v>10</v>
      </c>
      <c r="D86" s="3">
        <v>1</v>
      </c>
      <c r="E86" s="3">
        <v>128320</v>
      </c>
      <c r="H86">
        <v>1743</v>
      </c>
      <c r="I86" t="s">
        <v>91</v>
      </c>
      <c r="J86">
        <v>10</v>
      </c>
      <c r="K86">
        <v>1</v>
      </c>
      <c r="L86">
        <v>128121</v>
      </c>
      <c r="N86" s="3">
        <f t="shared" si="1"/>
        <v>199</v>
      </c>
    </row>
    <row r="87" spans="1:14" x14ac:dyDescent="0.25">
      <c r="A87" s="3">
        <v>1743</v>
      </c>
      <c r="B87" t="s">
        <v>91</v>
      </c>
      <c r="C87" s="3">
        <v>11</v>
      </c>
      <c r="D87" s="3">
        <v>0</v>
      </c>
      <c r="E87" s="3">
        <v>114495</v>
      </c>
      <c r="H87">
        <v>1743</v>
      </c>
      <c r="I87" t="s">
        <v>91</v>
      </c>
      <c r="J87">
        <v>11</v>
      </c>
      <c r="K87">
        <v>0</v>
      </c>
      <c r="L87">
        <v>114586</v>
      </c>
      <c r="N87" s="3">
        <f t="shared" si="1"/>
        <v>-91</v>
      </c>
    </row>
    <row r="88" spans="1:14" x14ac:dyDescent="0.25">
      <c r="A88" s="3">
        <v>1743</v>
      </c>
      <c r="B88" t="s">
        <v>91</v>
      </c>
      <c r="C88" s="3">
        <v>11</v>
      </c>
      <c r="D88" s="3">
        <v>1</v>
      </c>
      <c r="E88" s="3">
        <v>138513</v>
      </c>
      <c r="H88">
        <v>1743</v>
      </c>
      <c r="I88" t="s">
        <v>91</v>
      </c>
      <c r="J88">
        <v>11</v>
      </c>
      <c r="K88">
        <v>1</v>
      </c>
      <c r="L88">
        <v>138429</v>
      </c>
      <c r="N88" s="3">
        <f t="shared" si="1"/>
        <v>84</v>
      </c>
    </row>
    <row r="89" spans="1:14" x14ac:dyDescent="0.25">
      <c r="A89" s="3">
        <v>1743</v>
      </c>
      <c r="B89" t="s">
        <v>91</v>
      </c>
      <c r="C89" s="3">
        <v>12</v>
      </c>
      <c r="D89" s="3">
        <v>0</v>
      </c>
      <c r="E89" s="3">
        <v>104692</v>
      </c>
      <c r="H89">
        <v>1743</v>
      </c>
      <c r="I89" t="s">
        <v>91</v>
      </c>
      <c r="J89">
        <v>12</v>
      </c>
      <c r="K89">
        <v>0</v>
      </c>
      <c r="L89">
        <v>104499</v>
      </c>
      <c r="N89" s="3">
        <f t="shared" si="1"/>
        <v>193</v>
      </c>
    </row>
    <row r="90" spans="1:14" x14ac:dyDescent="0.25">
      <c r="A90" s="3">
        <v>1743</v>
      </c>
      <c r="B90" t="s">
        <v>91</v>
      </c>
      <c r="C90" s="3">
        <v>12</v>
      </c>
      <c r="D90" s="3">
        <v>1</v>
      </c>
      <c r="E90" s="3">
        <v>148316</v>
      </c>
      <c r="H90">
        <v>1743</v>
      </c>
      <c r="I90" t="s">
        <v>91</v>
      </c>
      <c r="J90">
        <v>12</v>
      </c>
      <c r="K90">
        <v>1</v>
      </c>
      <c r="L90">
        <v>148516</v>
      </c>
      <c r="N90" s="3">
        <f t="shared" si="1"/>
        <v>-200</v>
      </c>
    </row>
    <row r="91" spans="1:14" x14ac:dyDescent="0.25">
      <c r="A91" s="3">
        <v>1744</v>
      </c>
      <c r="C91" s="3">
        <v>1</v>
      </c>
      <c r="D91" s="3">
        <v>0</v>
      </c>
      <c r="E91" s="3">
        <v>989831</v>
      </c>
      <c r="H91">
        <v>1744</v>
      </c>
      <c r="J91">
        <v>1</v>
      </c>
      <c r="K91">
        <v>0</v>
      </c>
      <c r="L91">
        <v>984152</v>
      </c>
      <c r="N91" s="3">
        <f t="shared" si="1"/>
        <v>5679</v>
      </c>
    </row>
    <row r="92" spans="1:14" x14ac:dyDescent="0.25">
      <c r="A92" s="3">
        <v>1744</v>
      </c>
      <c r="C92" s="3">
        <v>2</v>
      </c>
      <c r="D92" s="3">
        <v>0</v>
      </c>
      <c r="E92" s="3">
        <v>989831</v>
      </c>
      <c r="H92">
        <v>1744</v>
      </c>
      <c r="J92">
        <v>2</v>
      </c>
      <c r="K92">
        <v>0</v>
      </c>
      <c r="L92">
        <v>984152</v>
      </c>
      <c r="N92" s="3">
        <f t="shared" si="1"/>
        <v>5679</v>
      </c>
    </row>
    <row r="93" spans="1:14" x14ac:dyDescent="0.25">
      <c r="A93" s="3">
        <v>1744</v>
      </c>
      <c r="B93" t="s">
        <v>91</v>
      </c>
      <c r="C93" s="3">
        <v>3</v>
      </c>
      <c r="D93" s="3">
        <v>0</v>
      </c>
      <c r="E93" s="3">
        <v>966170</v>
      </c>
      <c r="H93">
        <v>1744</v>
      </c>
      <c r="I93" t="s">
        <v>91</v>
      </c>
      <c r="J93">
        <v>3</v>
      </c>
      <c r="K93">
        <v>0</v>
      </c>
      <c r="L93">
        <v>960659</v>
      </c>
      <c r="N93" s="3">
        <f t="shared" si="1"/>
        <v>5511</v>
      </c>
    </row>
    <row r="94" spans="1:14" x14ac:dyDescent="0.25">
      <c r="A94" s="3">
        <v>1744</v>
      </c>
      <c r="B94" t="s">
        <v>91</v>
      </c>
      <c r="C94" s="3">
        <v>3</v>
      </c>
      <c r="D94" s="3">
        <v>1</v>
      </c>
      <c r="E94" s="3">
        <v>23661</v>
      </c>
      <c r="H94">
        <v>1744</v>
      </c>
      <c r="I94" t="s">
        <v>91</v>
      </c>
      <c r="J94">
        <v>3</v>
      </c>
      <c r="K94">
        <v>1</v>
      </c>
      <c r="L94">
        <v>23493</v>
      </c>
      <c r="N94" s="3">
        <f t="shared" si="1"/>
        <v>168</v>
      </c>
    </row>
    <row r="95" spans="1:14" x14ac:dyDescent="0.25">
      <c r="A95" s="3">
        <v>1744</v>
      </c>
      <c r="B95" t="s">
        <v>91</v>
      </c>
      <c r="C95" s="3">
        <v>4</v>
      </c>
      <c r="D95" s="3">
        <v>0</v>
      </c>
      <c r="E95" s="3">
        <v>917168</v>
      </c>
      <c r="H95">
        <v>1744</v>
      </c>
      <c r="I95" t="s">
        <v>91</v>
      </c>
      <c r="J95">
        <v>4</v>
      </c>
      <c r="K95">
        <v>0</v>
      </c>
      <c r="L95">
        <v>912041</v>
      </c>
      <c r="N95" s="3">
        <f t="shared" si="1"/>
        <v>5127</v>
      </c>
    </row>
    <row r="96" spans="1:14" x14ac:dyDescent="0.25">
      <c r="A96" s="3">
        <v>1744</v>
      </c>
      <c r="B96" t="s">
        <v>91</v>
      </c>
      <c r="C96" s="3">
        <v>4</v>
      </c>
      <c r="D96" s="3">
        <v>1</v>
      </c>
      <c r="E96" s="3">
        <v>72663</v>
      </c>
      <c r="H96">
        <v>1744</v>
      </c>
      <c r="I96" t="s">
        <v>91</v>
      </c>
      <c r="J96">
        <v>4</v>
      </c>
      <c r="K96">
        <v>1</v>
      </c>
      <c r="L96">
        <v>72111</v>
      </c>
      <c r="N96" s="3">
        <f t="shared" si="1"/>
        <v>552</v>
      </c>
    </row>
    <row r="97" spans="1:14" x14ac:dyDescent="0.25">
      <c r="A97" s="3">
        <v>1744</v>
      </c>
      <c r="B97" t="s">
        <v>91</v>
      </c>
      <c r="C97" s="3">
        <v>5</v>
      </c>
      <c r="D97" s="3">
        <v>0</v>
      </c>
      <c r="E97" s="3">
        <v>851968</v>
      </c>
      <c r="H97">
        <v>1744</v>
      </c>
      <c r="I97" t="s">
        <v>91</v>
      </c>
      <c r="J97">
        <v>5</v>
      </c>
      <c r="K97">
        <v>0</v>
      </c>
      <c r="L97">
        <v>847323</v>
      </c>
      <c r="N97" s="3">
        <f t="shared" si="1"/>
        <v>4645</v>
      </c>
    </row>
    <row r="98" spans="1:14" x14ac:dyDescent="0.25">
      <c r="A98" s="3">
        <v>1744</v>
      </c>
      <c r="B98" t="s">
        <v>91</v>
      </c>
      <c r="C98" s="3">
        <v>5</v>
      </c>
      <c r="D98" s="3">
        <v>1</v>
      </c>
      <c r="E98" s="3">
        <v>137863</v>
      </c>
      <c r="H98">
        <v>1744</v>
      </c>
      <c r="I98" t="s">
        <v>91</v>
      </c>
      <c r="J98">
        <v>5</v>
      </c>
      <c r="K98">
        <v>1</v>
      </c>
      <c r="L98">
        <v>136829</v>
      </c>
      <c r="N98" s="3">
        <f t="shared" si="1"/>
        <v>1034</v>
      </c>
    </row>
    <row r="99" spans="1:14" x14ac:dyDescent="0.25">
      <c r="A99" s="3">
        <v>1744</v>
      </c>
      <c r="B99" t="s">
        <v>91</v>
      </c>
      <c r="C99" s="3">
        <v>6</v>
      </c>
      <c r="D99" s="3">
        <v>0</v>
      </c>
      <c r="E99" s="3">
        <v>777489</v>
      </c>
      <c r="H99">
        <v>1744</v>
      </c>
      <c r="I99" t="s">
        <v>91</v>
      </c>
      <c r="J99">
        <v>6</v>
      </c>
      <c r="K99">
        <v>0</v>
      </c>
      <c r="L99">
        <v>773319</v>
      </c>
      <c r="N99" s="3">
        <f t="shared" si="1"/>
        <v>4170</v>
      </c>
    </row>
    <row r="100" spans="1:14" x14ac:dyDescent="0.25">
      <c r="A100" s="3">
        <v>1744</v>
      </c>
      <c r="B100" t="s">
        <v>91</v>
      </c>
      <c r="C100" s="3">
        <v>6</v>
      </c>
      <c r="D100" s="3">
        <v>1</v>
      </c>
      <c r="E100" s="3">
        <v>212342</v>
      </c>
      <c r="H100">
        <v>1744</v>
      </c>
      <c r="I100" t="s">
        <v>91</v>
      </c>
      <c r="J100">
        <v>6</v>
      </c>
      <c r="K100">
        <v>1</v>
      </c>
      <c r="L100">
        <v>210833</v>
      </c>
      <c r="N100" s="3">
        <f t="shared" si="1"/>
        <v>1509</v>
      </c>
    </row>
    <row r="101" spans="1:14" x14ac:dyDescent="0.25">
      <c r="A101" s="3">
        <v>1744</v>
      </c>
      <c r="B101" t="s">
        <v>91</v>
      </c>
      <c r="C101" s="3">
        <v>7</v>
      </c>
      <c r="D101" s="3">
        <v>0</v>
      </c>
      <c r="E101" s="3">
        <v>699168</v>
      </c>
      <c r="H101">
        <v>1744</v>
      </c>
      <c r="I101" t="s">
        <v>91</v>
      </c>
      <c r="J101">
        <v>7</v>
      </c>
      <c r="K101">
        <v>0</v>
      </c>
      <c r="L101">
        <v>695662</v>
      </c>
      <c r="N101" s="3">
        <f t="shared" si="1"/>
        <v>3506</v>
      </c>
    </row>
    <row r="102" spans="1:14" x14ac:dyDescent="0.25">
      <c r="A102" s="3">
        <v>1744</v>
      </c>
      <c r="B102" t="s">
        <v>91</v>
      </c>
      <c r="C102" s="3">
        <v>7</v>
      </c>
      <c r="D102" s="3">
        <v>1</v>
      </c>
      <c r="E102" s="3">
        <v>290663</v>
      </c>
      <c r="H102">
        <v>1744</v>
      </c>
      <c r="I102" t="s">
        <v>91</v>
      </c>
      <c r="J102">
        <v>7</v>
      </c>
      <c r="K102">
        <v>1</v>
      </c>
      <c r="L102">
        <v>288490</v>
      </c>
      <c r="N102" s="3">
        <f t="shared" si="1"/>
        <v>2173</v>
      </c>
    </row>
    <row r="103" spans="1:14" x14ac:dyDescent="0.25">
      <c r="A103" s="3">
        <v>1744</v>
      </c>
      <c r="B103" t="s">
        <v>91</v>
      </c>
      <c r="C103" s="3">
        <v>8</v>
      </c>
      <c r="D103" s="3">
        <v>0</v>
      </c>
      <c r="E103" s="3">
        <v>620831</v>
      </c>
      <c r="H103">
        <v>1744</v>
      </c>
      <c r="I103" t="s">
        <v>91</v>
      </c>
      <c r="J103">
        <v>8</v>
      </c>
      <c r="K103">
        <v>0</v>
      </c>
      <c r="L103">
        <v>617669</v>
      </c>
      <c r="N103" s="3">
        <f t="shared" si="1"/>
        <v>3162</v>
      </c>
    </row>
    <row r="104" spans="1:14" x14ac:dyDescent="0.25">
      <c r="A104" s="3">
        <v>1744</v>
      </c>
      <c r="B104" t="s">
        <v>91</v>
      </c>
      <c r="C104" s="3">
        <v>8</v>
      </c>
      <c r="D104" s="3">
        <v>1</v>
      </c>
      <c r="E104" s="3">
        <v>369000</v>
      </c>
      <c r="H104">
        <v>1744</v>
      </c>
      <c r="I104" t="s">
        <v>91</v>
      </c>
      <c r="J104">
        <v>8</v>
      </c>
      <c r="K104">
        <v>1</v>
      </c>
      <c r="L104">
        <v>366483</v>
      </c>
      <c r="N104" s="3">
        <f t="shared" si="1"/>
        <v>2517</v>
      </c>
    </row>
    <row r="105" spans="1:14" x14ac:dyDescent="0.25">
      <c r="A105" s="3">
        <v>1744</v>
      </c>
      <c r="B105" t="s">
        <v>91</v>
      </c>
      <c r="C105" s="3">
        <v>9</v>
      </c>
      <c r="D105" s="3">
        <v>0</v>
      </c>
      <c r="E105" s="3">
        <v>545764</v>
      </c>
      <c r="H105">
        <v>1744</v>
      </c>
      <c r="I105" t="s">
        <v>91</v>
      </c>
      <c r="J105">
        <v>9</v>
      </c>
      <c r="K105">
        <v>0</v>
      </c>
      <c r="L105">
        <v>543120</v>
      </c>
      <c r="N105" s="3">
        <f t="shared" si="1"/>
        <v>2644</v>
      </c>
    </row>
    <row r="106" spans="1:14" x14ac:dyDescent="0.25">
      <c r="A106" s="3">
        <v>1744</v>
      </c>
      <c r="B106" t="s">
        <v>91</v>
      </c>
      <c r="C106" s="3">
        <v>9</v>
      </c>
      <c r="D106" s="3">
        <v>1</v>
      </c>
      <c r="E106" s="3">
        <v>444067</v>
      </c>
      <c r="H106">
        <v>1744</v>
      </c>
      <c r="I106" t="s">
        <v>91</v>
      </c>
      <c r="J106">
        <v>9</v>
      </c>
      <c r="K106">
        <v>1</v>
      </c>
      <c r="L106">
        <v>441032</v>
      </c>
      <c r="N106" s="3">
        <f t="shared" si="1"/>
        <v>3035</v>
      </c>
    </row>
    <row r="107" spans="1:14" x14ac:dyDescent="0.25">
      <c r="A107" s="3">
        <v>1744</v>
      </c>
      <c r="B107" t="s">
        <v>91</v>
      </c>
      <c r="C107" s="3">
        <v>10</v>
      </c>
      <c r="D107" s="3">
        <v>0</v>
      </c>
      <c r="E107" s="3">
        <v>475970</v>
      </c>
      <c r="H107">
        <v>1744</v>
      </c>
      <c r="I107" t="s">
        <v>91</v>
      </c>
      <c r="J107">
        <v>10</v>
      </c>
      <c r="K107">
        <v>0</v>
      </c>
      <c r="L107">
        <v>473636</v>
      </c>
      <c r="N107" s="3">
        <f t="shared" si="1"/>
        <v>2334</v>
      </c>
    </row>
    <row r="108" spans="1:14" x14ac:dyDescent="0.25">
      <c r="A108" s="3">
        <v>1744</v>
      </c>
      <c r="B108" t="s">
        <v>91</v>
      </c>
      <c r="C108" s="3">
        <v>10</v>
      </c>
      <c r="D108" s="3">
        <v>1</v>
      </c>
      <c r="E108" s="3">
        <v>513861</v>
      </c>
      <c r="H108">
        <v>1744</v>
      </c>
      <c r="I108" t="s">
        <v>91</v>
      </c>
      <c r="J108">
        <v>10</v>
      </c>
      <c r="K108">
        <v>1</v>
      </c>
      <c r="L108">
        <v>510516</v>
      </c>
      <c r="N108" s="3">
        <f t="shared" si="1"/>
        <v>3345</v>
      </c>
    </row>
    <row r="109" spans="1:14" x14ac:dyDescent="0.25">
      <c r="A109" s="3">
        <v>1744</v>
      </c>
      <c r="B109" t="s">
        <v>91</v>
      </c>
      <c r="C109" s="3">
        <v>11</v>
      </c>
      <c r="D109" s="3">
        <v>0</v>
      </c>
      <c r="E109" s="3">
        <v>412177</v>
      </c>
      <c r="H109">
        <v>1744</v>
      </c>
      <c r="I109" t="s">
        <v>91</v>
      </c>
      <c r="J109">
        <v>11</v>
      </c>
      <c r="K109">
        <v>0</v>
      </c>
      <c r="L109">
        <v>410164</v>
      </c>
      <c r="N109" s="3">
        <f t="shared" si="1"/>
        <v>2013</v>
      </c>
    </row>
    <row r="110" spans="1:14" x14ac:dyDescent="0.25">
      <c r="A110" s="3">
        <v>1744</v>
      </c>
      <c r="B110" t="s">
        <v>91</v>
      </c>
      <c r="C110" s="3">
        <v>11</v>
      </c>
      <c r="D110" s="3">
        <v>1</v>
      </c>
      <c r="E110" s="3">
        <v>577654</v>
      </c>
      <c r="H110">
        <v>1744</v>
      </c>
      <c r="I110" t="s">
        <v>91</v>
      </c>
      <c r="J110">
        <v>11</v>
      </c>
      <c r="K110">
        <v>1</v>
      </c>
      <c r="L110">
        <v>573988</v>
      </c>
      <c r="N110" s="3">
        <f t="shared" si="1"/>
        <v>3666</v>
      </c>
    </row>
    <row r="111" spans="1:14" x14ac:dyDescent="0.25">
      <c r="A111" s="3">
        <v>1744</v>
      </c>
      <c r="B111" t="s">
        <v>91</v>
      </c>
      <c r="C111" s="3">
        <v>12</v>
      </c>
      <c r="D111" s="3">
        <v>0</v>
      </c>
      <c r="E111" s="3">
        <v>355388</v>
      </c>
      <c r="H111">
        <v>1744</v>
      </c>
      <c r="I111" t="s">
        <v>91</v>
      </c>
      <c r="J111">
        <v>12</v>
      </c>
      <c r="K111">
        <v>0</v>
      </c>
      <c r="L111">
        <v>353622</v>
      </c>
      <c r="N111" s="3">
        <f t="shared" si="1"/>
        <v>1766</v>
      </c>
    </row>
    <row r="112" spans="1:14" x14ac:dyDescent="0.25">
      <c r="A112" s="3">
        <v>1744</v>
      </c>
      <c r="B112" t="s">
        <v>91</v>
      </c>
      <c r="C112" s="3">
        <v>12</v>
      </c>
      <c r="D112" s="3">
        <v>1</v>
      </c>
      <c r="E112" s="3">
        <v>634443</v>
      </c>
      <c r="H112">
        <v>1744</v>
      </c>
      <c r="I112" t="s">
        <v>91</v>
      </c>
      <c r="J112">
        <v>12</v>
      </c>
      <c r="K112">
        <v>1</v>
      </c>
      <c r="L112">
        <v>630530</v>
      </c>
      <c r="N112" s="3">
        <f t="shared" si="1"/>
        <v>3913</v>
      </c>
    </row>
    <row r="113" spans="1:14" x14ac:dyDescent="0.25">
      <c r="A113" s="3">
        <v>1745</v>
      </c>
      <c r="B113" t="s">
        <v>91</v>
      </c>
      <c r="C113" s="3">
        <v>1</v>
      </c>
      <c r="D113" s="3">
        <v>0</v>
      </c>
      <c r="E113" s="3">
        <v>26</v>
      </c>
      <c r="H113">
        <v>1745</v>
      </c>
      <c r="I113" t="s">
        <v>91</v>
      </c>
      <c r="J113">
        <v>1</v>
      </c>
      <c r="K113">
        <v>0</v>
      </c>
      <c r="L113">
        <v>26</v>
      </c>
      <c r="N113" s="3">
        <f t="shared" si="1"/>
        <v>0</v>
      </c>
    </row>
    <row r="114" spans="1:14" x14ac:dyDescent="0.25">
      <c r="A114" s="3">
        <v>1745</v>
      </c>
      <c r="B114" t="s">
        <v>91</v>
      </c>
      <c r="C114" s="3">
        <v>1</v>
      </c>
      <c r="D114" s="3">
        <v>1</v>
      </c>
      <c r="E114" s="3">
        <v>1</v>
      </c>
      <c r="H114">
        <v>1745</v>
      </c>
      <c r="I114" t="s">
        <v>91</v>
      </c>
      <c r="J114">
        <v>1</v>
      </c>
      <c r="K114">
        <v>1</v>
      </c>
      <c r="L114">
        <v>1</v>
      </c>
      <c r="N114" s="3">
        <f t="shared" si="1"/>
        <v>0</v>
      </c>
    </row>
    <row r="115" spans="1:14" x14ac:dyDescent="0.25">
      <c r="A115" s="3">
        <v>1745</v>
      </c>
      <c r="B115" t="s">
        <v>91</v>
      </c>
      <c r="C115" s="3">
        <v>2</v>
      </c>
      <c r="D115" s="3">
        <v>0</v>
      </c>
      <c r="E115" s="3">
        <v>26</v>
      </c>
      <c r="H115">
        <v>1745</v>
      </c>
      <c r="I115" t="s">
        <v>91</v>
      </c>
      <c r="J115">
        <v>2</v>
      </c>
      <c r="K115">
        <v>0</v>
      </c>
      <c r="L115">
        <v>26</v>
      </c>
      <c r="N115" s="3">
        <f t="shared" si="1"/>
        <v>0</v>
      </c>
    </row>
    <row r="116" spans="1:14" x14ac:dyDescent="0.25">
      <c r="A116" s="3">
        <v>1745</v>
      </c>
      <c r="B116" t="s">
        <v>91</v>
      </c>
      <c r="C116" s="3">
        <v>2</v>
      </c>
      <c r="D116" s="3">
        <v>1</v>
      </c>
      <c r="E116" s="3">
        <v>1</v>
      </c>
      <c r="H116">
        <v>1745</v>
      </c>
      <c r="I116" t="s">
        <v>91</v>
      </c>
      <c r="J116">
        <v>2</v>
      </c>
      <c r="K116">
        <v>1</v>
      </c>
      <c r="L116">
        <v>1</v>
      </c>
      <c r="N116" s="3">
        <f t="shared" si="1"/>
        <v>0</v>
      </c>
    </row>
    <row r="117" spans="1:14" x14ac:dyDescent="0.25">
      <c r="A117" s="3">
        <v>1745</v>
      </c>
      <c r="B117" t="s">
        <v>91</v>
      </c>
      <c r="C117" s="3">
        <v>3</v>
      </c>
      <c r="D117" s="3">
        <v>0</v>
      </c>
      <c r="E117" s="3">
        <v>26</v>
      </c>
      <c r="H117">
        <v>1745</v>
      </c>
      <c r="I117" t="s">
        <v>91</v>
      </c>
      <c r="J117">
        <v>3</v>
      </c>
      <c r="K117">
        <v>0</v>
      </c>
      <c r="L117">
        <v>26</v>
      </c>
      <c r="N117" s="3">
        <f t="shared" si="1"/>
        <v>0</v>
      </c>
    </row>
    <row r="118" spans="1:14" x14ac:dyDescent="0.25">
      <c r="A118" s="3">
        <v>1745</v>
      </c>
      <c r="B118" t="s">
        <v>91</v>
      </c>
      <c r="C118" s="3">
        <v>3</v>
      </c>
      <c r="D118" s="3">
        <v>1</v>
      </c>
      <c r="E118" s="3">
        <v>1</v>
      </c>
      <c r="H118">
        <v>1745</v>
      </c>
      <c r="I118" t="s">
        <v>91</v>
      </c>
      <c r="J118">
        <v>3</v>
      </c>
      <c r="K118">
        <v>1</v>
      </c>
      <c r="L118">
        <v>1</v>
      </c>
      <c r="N118" s="3">
        <f t="shared" si="1"/>
        <v>0</v>
      </c>
    </row>
    <row r="119" spans="1:14" x14ac:dyDescent="0.25">
      <c r="A119" s="3">
        <v>1745</v>
      </c>
      <c r="B119" t="s">
        <v>91</v>
      </c>
      <c r="C119" s="3">
        <v>4</v>
      </c>
      <c r="D119" s="3">
        <v>0</v>
      </c>
      <c r="E119" s="3">
        <v>25</v>
      </c>
      <c r="H119">
        <v>1745</v>
      </c>
      <c r="I119" t="s">
        <v>91</v>
      </c>
      <c r="J119">
        <v>4</v>
      </c>
      <c r="K119">
        <v>0</v>
      </c>
      <c r="L119">
        <v>25</v>
      </c>
      <c r="N119" s="3">
        <f t="shared" si="1"/>
        <v>0</v>
      </c>
    </row>
    <row r="120" spans="1:14" x14ac:dyDescent="0.25">
      <c r="A120" s="3">
        <v>1745</v>
      </c>
      <c r="B120" t="s">
        <v>91</v>
      </c>
      <c r="C120" s="3">
        <v>4</v>
      </c>
      <c r="D120" s="3">
        <v>1</v>
      </c>
      <c r="E120" s="3">
        <v>2</v>
      </c>
      <c r="H120">
        <v>1745</v>
      </c>
      <c r="I120" t="s">
        <v>91</v>
      </c>
      <c r="J120">
        <v>4</v>
      </c>
      <c r="K120">
        <v>1</v>
      </c>
      <c r="L120">
        <v>2</v>
      </c>
      <c r="N120" s="3">
        <f t="shared" si="1"/>
        <v>0</v>
      </c>
    </row>
    <row r="121" spans="1:14" x14ac:dyDescent="0.25">
      <c r="A121" s="3">
        <v>1745</v>
      </c>
      <c r="B121" t="s">
        <v>91</v>
      </c>
      <c r="C121" s="3">
        <v>5</v>
      </c>
      <c r="D121" s="3">
        <v>0</v>
      </c>
      <c r="E121" s="3">
        <v>23</v>
      </c>
      <c r="H121">
        <v>1745</v>
      </c>
      <c r="I121" t="s">
        <v>91</v>
      </c>
      <c r="J121">
        <v>5</v>
      </c>
      <c r="K121">
        <v>0</v>
      </c>
      <c r="L121">
        <v>23</v>
      </c>
      <c r="N121" s="3">
        <f t="shared" si="1"/>
        <v>0</v>
      </c>
    </row>
    <row r="122" spans="1:14" x14ac:dyDescent="0.25">
      <c r="A122" s="3">
        <v>1745</v>
      </c>
      <c r="B122" t="s">
        <v>91</v>
      </c>
      <c r="C122" s="3">
        <v>5</v>
      </c>
      <c r="D122" s="3">
        <v>1</v>
      </c>
      <c r="E122" s="3">
        <v>4</v>
      </c>
      <c r="H122">
        <v>1745</v>
      </c>
      <c r="I122" t="s">
        <v>91</v>
      </c>
      <c r="J122">
        <v>5</v>
      </c>
      <c r="K122">
        <v>1</v>
      </c>
      <c r="L122">
        <v>4</v>
      </c>
      <c r="N122" s="3">
        <f t="shared" si="1"/>
        <v>0</v>
      </c>
    </row>
    <row r="123" spans="1:14" x14ac:dyDescent="0.25">
      <c r="A123" s="3">
        <v>1745</v>
      </c>
      <c r="B123" t="s">
        <v>91</v>
      </c>
      <c r="C123" s="3">
        <v>6</v>
      </c>
      <c r="D123" s="3">
        <v>0</v>
      </c>
      <c r="E123" s="3">
        <v>23</v>
      </c>
      <c r="H123">
        <v>1745</v>
      </c>
      <c r="I123" t="s">
        <v>91</v>
      </c>
      <c r="J123">
        <v>6</v>
      </c>
      <c r="K123">
        <v>0</v>
      </c>
      <c r="L123">
        <v>23</v>
      </c>
      <c r="N123" s="3">
        <f t="shared" si="1"/>
        <v>0</v>
      </c>
    </row>
    <row r="124" spans="1:14" x14ac:dyDescent="0.25">
      <c r="A124" s="3">
        <v>1745</v>
      </c>
      <c r="B124" t="s">
        <v>91</v>
      </c>
      <c r="C124" s="3">
        <v>6</v>
      </c>
      <c r="D124" s="3">
        <v>1</v>
      </c>
      <c r="E124" s="3">
        <v>4</v>
      </c>
      <c r="H124">
        <v>1745</v>
      </c>
      <c r="I124" t="s">
        <v>91</v>
      </c>
      <c r="J124">
        <v>6</v>
      </c>
      <c r="K124">
        <v>1</v>
      </c>
      <c r="L124">
        <v>4</v>
      </c>
      <c r="N124" s="3">
        <f t="shared" si="1"/>
        <v>0</v>
      </c>
    </row>
    <row r="125" spans="1:14" x14ac:dyDescent="0.25">
      <c r="A125" s="3">
        <v>1745</v>
      </c>
      <c r="B125" t="s">
        <v>91</v>
      </c>
      <c r="C125" s="3">
        <v>7</v>
      </c>
      <c r="D125" s="3">
        <v>0</v>
      </c>
      <c r="E125" s="3">
        <v>22</v>
      </c>
      <c r="H125">
        <v>1745</v>
      </c>
      <c r="I125" t="s">
        <v>91</v>
      </c>
      <c r="J125">
        <v>7</v>
      </c>
      <c r="K125">
        <v>0</v>
      </c>
      <c r="L125">
        <v>22</v>
      </c>
      <c r="N125" s="3">
        <f t="shared" si="1"/>
        <v>0</v>
      </c>
    </row>
    <row r="126" spans="1:14" x14ac:dyDescent="0.25">
      <c r="A126" s="3">
        <v>1745</v>
      </c>
      <c r="B126" t="s">
        <v>91</v>
      </c>
      <c r="C126" s="3">
        <v>7</v>
      </c>
      <c r="D126" s="3">
        <v>1</v>
      </c>
      <c r="E126" s="3">
        <v>5</v>
      </c>
      <c r="H126">
        <v>1745</v>
      </c>
      <c r="I126" t="s">
        <v>91</v>
      </c>
      <c r="J126">
        <v>7</v>
      </c>
      <c r="K126">
        <v>1</v>
      </c>
      <c r="L126">
        <v>5</v>
      </c>
      <c r="N126" s="3">
        <f t="shared" si="1"/>
        <v>0</v>
      </c>
    </row>
    <row r="127" spans="1:14" x14ac:dyDescent="0.25">
      <c r="A127" s="3">
        <v>1745</v>
      </c>
      <c r="B127" t="s">
        <v>91</v>
      </c>
      <c r="C127" s="3">
        <v>8</v>
      </c>
      <c r="D127" s="3">
        <v>0</v>
      </c>
      <c r="E127" s="3">
        <v>21</v>
      </c>
      <c r="H127">
        <v>1745</v>
      </c>
      <c r="I127" t="s">
        <v>91</v>
      </c>
      <c r="J127">
        <v>8</v>
      </c>
      <c r="K127">
        <v>0</v>
      </c>
      <c r="L127">
        <v>21</v>
      </c>
      <c r="N127" s="3">
        <f t="shared" si="1"/>
        <v>0</v>
      </c>
    </row>
    <row r="128" spans="1:14" x14ac:dyDescent="0.25">
      <c r="A128" s="3">
        <v>1745</v>
      </c>
      <c r="B128" t="s">
        <v>91</v>
      </c>
      <c r="C128" s="3">
        <v>8</v>
      </c>
      <c r="D128" s="3">
        <v>1</v>
      </c>
      <c r="E128" s="3">
        <v>6</v>
      </c>
      <c r="H128">
        <v>1745</v>
      </c>
      <c r="I128" t="s">
        <v>91</v>
      </c>
      <c r="J128">
        <v>8</v>
      </c>
      <c r="K128">
        <v>1</v>
      </c>
      <c r="L128">
        <v>6</v>
      </c>
      <c r="N128" s="3">
        <f t="shared" si="1"/>
        <v>0</v>
      </c>
    </row>
    <row r="129" spans="1:14" x14ac:dyDescent="0.25">
      <c r="A129" s="3">
        <v>1745</v>
      </c>
      <c r="B129" t="s">
        <v>91</v>
      </c>
      <c r="C129" s="3">
        <v>9</v>
      </c>
      <c r="D129" s="3">
        <v>0</v>
      </c>
      <c r="E129" s="3">
        <v>21</v>
      </c>
      <c r="H129">
        <v>1745</v>
      </c>
      <c r="I129" t="s">
        <v>91</v>
      </c>
      <c r="J129">
        <v>9</v>
      </c>
      <c r="K129">
        <v>0</v>
      </c>
      <c r="L129">
        <v>21</v>
      </c>
      <c r="N129" s="3">
        <f t="shared" si="1"/>
        <v>0</v>
      </c>
    </row>
    <row r="130" spans="1:14" x14ac:dyDescent="0.25">
      <c r="A130" s="3">
        <v>1745</v>
      </c>
      <c r="B130" t="s">
        <v>91</v>
      </c>
      <c r="C130" s="3">
        <v>9</v>
      </c>
      <c r="D130" s="3">
        <v>1</v>
      </c>
      <c r="E130" s="3">
        <v>6</v>
      </c>
      <c r="H130">
        <v>1745</v>
      </c>
      <c r="I130" t="s">
        <v>91</v>
      </c>
      <c r="J130">
        <v>9</v>
      </c>
      <c r="K130">
        <v>1</v>
      </c>
      <c r="L130">
        <v>6</v>
      </c>
      <c r="N130" s="3">
        <f t="shared" si="1"/>
        <v>0</v>
      </c>
    </row>
    <row r="131" spans="1:14" x14ac:dyDescent="0.25">
      <c r="A131" s="3">
        <v>1745</v>
      </c>
      <c r="B131" t="s">
        <v>91</v>
      </c>
      <c r="C131" s="3">
        <v>10</v>
      </c>
      <c r="D131" s="3">
        <v>0</v>
      </c>
      <c r="E131" s="3">
        <v>19</v>
      </c>
      <c r="H131">
        <v>1745</v>
      </c>
      <c r="I131" t="s">
        <v>91</v>
      </c>
      <c r="J131">
        <v>10</v>
      </c>
      <c r="K131">
        <v>0</v>
      </c>
      <c r="L131">
        <v>19</v>
      </c>
      <c r="N131" s="3">
        <f t="shared" si="1"/>
        <v>0</v>
      </c>
    </row>
    <row r="132" spans="1:14" x14ac:dyDescent="0.25">
      <c r="A132" s="3">
        <v>1745</v>
      </c>
      <c r="B132" t="s">
        <v>91</v>
      </c>
      <c r="C132" s="3">
        <v>10</v>
      </c>
      <c r="D132" s="3">
        <v>1</v>
      </c>
      <c r="E132" s="3">
        <v>8</v>
      </c>
      <c r="H132">
        <v>1745</v>
      </c>
      <c r="I132" t="s">
        <v>91</v>
      </c>
      <c r="J132">
        <v>10</v>
      </c>
      <c r="K132">
        <v>1</v>
      </c>
      <c r="L132">
        <v>8</v>
      </c>
      <c r="N132" s="3">
        <f t="shared" ref="N132:N136" si="2">E132-L132</f>
        <v>0</v>
      </c>
    </row>
    <row r="133" spans="1:14" x14ac:dyDescent="0.25">
      <c r="A133" s="3">
        <v>1745</v>
      </c>
      <c r="B133" t="s">
        <v>91</v>
      </c>
      <c r="C133" s="3">
        <v>11</v>
      </c>
      <c r="D133" s="3">
        <v>0</v>
      </c>
      <c r="E133" s="3">
        <v>18</v>
      </c>
      <c r="H133">
        <v>1745</v>
      </c>
      <c r="I133" t="s">
        <v>91</v>
      </c>
      <c r="J133">
        <v>11</v>
      </c>
      <c r="K133">
        <v>0</v>
      </c>
      <c r="L133">
        <v>18</v>
      </c>
      <c r="N133" s="3">
        <f t="shared" si="2"/>
        <v>0</v>
      </c>
    </row>
    <row r="134" spans="1:14" x14ac:dyDescent="0.25">
      <c r="A134" s="3">
        <v>1745</v>
      </c>
      <c r="B134" t="s">
        <v>91</v>
      </c>
      <c r="C134" s="3">
        <v>11</v>
      </c>
      <c r="D134" s="3">
        <v>1</v>
      </c>
      <c r="E134" s="3">
        <v>9</v>
      </c>
      <c r="H134">
        <v>1745</v>
      </c>
      <c r="I134" t="s">
        <v>91</v>
      </c>
      <c r="J134">
        <v>11</v>
      </c>
      <c r="K134">
        <v>1</v>
      </c>
      <c r="L134">
        <v>9</v>
      </c>
      <c r="N134" s="3">
        <f t="shared" si="2"/>
        <v>0</v>
      </c>
    </row>
    <row r="135" spans="1:14" x14ac:dyDescent="0.25">
      <c r="A135" s="3">
        <v>1745</v>
      </c>
      <c r="B135" t="s">
        <v>91</v>
      </c>
      <c r="C135" s="3">
        <v>12</v>
      </c>
      <c r="D135" s="3">
        <v>0</v>
      </c>
      <c r="E135" s="3">
        <v>16</v>
      </c>
      <c r="H135">
        <v>1745</v>
      </c>
      <c r="I135" t="s">
        <v>91</v>
      </c>
      <c r="J135">
        <v>12</v>
      </c>
      <c r="K135">
        <v>0</v>
      </c>
      <c r="L135">
        <v>16</v>
      </c>
      <c r="N135" s="3">
        <f t="shared" si="2"/>
        <v>0</v>
      </c>
    </row>
    <row r="136" spans="1:14" x14ac:dyDescent="0.25">
      <c r="A136" s="3">
        <v>1745</v>
      </c>
      <c r="B136" t="s">
        <v>91</v>
      </c>
      <c r="C136" s="3">
        <v>12</v>
      </c>
      <c r="D136" s="3">
        <v>1</v>
      </c>
      <c r="E136" s="3">
        <v>11</v>
      </c>
      <c r="H136">
        <v>1745</v>
      </c>
      <c r="I136" t="s">
        <v>91</v>
      </c>
      <c r="J136">
        <v>12</v>
      </c>
      <c r="K136">
        <v>1</v>
      </c>
      <c r="L136">
        <v>11</v>
      </c>
      <c r="N136" s="3">
        <f t="shared" si="2"/>
        <v>0</v>
      </c>
    </row>
  </sheetData>
  <mergeCells count="2">
    <mergeCell ref="A1:E1"/>
    <mergeCell ref="H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d58036-c895-479c-a814-c208d1800070}" enabled="0" method="" siteId="{8fd58036-c895-479c-a814-c208d18000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tests</vt:lpstr>
      <vt:lpstr>compare_cell_id</vt:lpstr>
      <vt:lpstr>nomail_check</vt:lpstr>
      <vt:lpstr>decile_mail</vt:lpstr>
      <vt:lpstr>examples</vt:lpstr>
      <vt:lpstr>coupon</vt:lpstr>
      <vt:lpstr>articles</vt:lpstr>
      <vt:lpstr>cell-cpn</vt:lpstr>
      <vt:lpstr>slot-cpn</vt:lpstr>
      <vt:lpstr>renewal_cell_id</vt:lpstr>
      <vt:lpstr>descriptive_cell_id</vt:lpstr>
      <vt:lpstr>personalized_content_cell_id</vt:lpstr>
      <vt:lpstr>full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Chatterjee, Abhilash</dc:creator>
  <cp:keywords/>
  <dc:description/>
  <cp:lastModifiedBy>Saeed, Hazim</cp:lastModifiedBy>
  <cp:revision/>
  <dcterms:created xsi:type="dcterms:W3CDTF">2026-03-10T12:23:52Z</dcterms:created>
  <dcterms:modified xsi:type="dcterms:W3CDTF">2026-03-11T16:21:49Z</dcterms:modified>
  <cp:category/>
  <cp:contentStatus/>
</cp:coreProperties>
</file>